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150" windowWidth="18195" windowHeight="7995" tabRatio="709" activeTab="8"/>
  </bookViews>
  <sheets>
    <sheet name="TC,TOC,TIC (1) " sheetId="8" r:id="rId1"/>
    <sheet name="LOI (2)" sheetId="2" r:id="rId2"/>
    <sheet name="Total Nitrogen (3)" sheetId="7" r:id="rId3"/>
    <sheet name="Dry bulk Density (4)" sheetId="4" r:id="rId4"/>
    <sheet name="Soil Moisture  (5)" sheetId="6" r:id="rId5"/>
    <sheet name="pH SU &amp; SN (6)" sheetId="1" r:id="rId6"/>
    <sheet name="EC SN (7)" sheetId="9" r:id="rId7"/>
    <sheet name="TOC and TN stocks (8)" sheetId="11" r:id="rId8"/>
    <sheet name="Annotation (9)" sheetId="13" r:id="rId9"/>
  </sheets>
  <definedNames>
    <definedName name="_xlnm.Print_Area" localSheetId="8">'Annotation (9)'!$A$1:$L$41</definedName>
  </definedNames>
  <calcPr calcId="145621"/>
</workbook>
</file>

<file path=xl/calcChain.xml><?xml version="1.0" encoding="utf-8"?>
<calcChain xmlns="http://schemas.openxmlformats.org/spreadsheetml/2006/main">
  <c r="I42" i="7" l="1"/>
  <c r="H42" i="7"/>
  <c r="E42" i="7"/>
  <c r="D42" i="7"/>
  <c r="J42" i="7" s="1"/>
  <c r="I41" i="7"/>
  <c r="H41" i="7"/>
  <c r="E41" i="7"/>
  <c r="D41" i="7"/>
  <c r="K41" i="7" s="1"/>
  <c r="I40" i="7"/>
  <c r="H40" i="7"/>
  <c r="E40" i="7"/>
  <c r="D40" i="7"/>
  <c r="J40" i="7" s="1"/>
  <c r="I39" i="7"/>
  <c r="H39" i="7"/>
  <c r="E39" i="7"/>
  <c r="D39" i="7"/>
  <c r="J39" i="7" s="1"/>
  <c r="I38" i="7"/>
  <c r="H38" i="7"/>
  <c r="E38" i="7"/>
  <c r="D38" i="7"/>
  <c r="J38" i="7" s="1"/>
  <c r="I37" i="7"/>
  <c r="H37" i="7"/>
  <c r="E37" i="7"/>
  <c r="D37" i="7"/>
  <c r="J37" i="7" s="1"/>
  <c r="I36" i="7"/>
  <c r="H36" i="7"/>
  <c r="E36" i="7"/>
  <c r="D36" i="7"/>
  <c r="J36" i="7" s="1"/>
  <c r="I35" i="7"/>
  <c r="H35" i="7"/>
  <c r="E35" i="7"/>
  <c r="D35" i="7"/>
  <c r="J35" i="7" s="1"/>
  <c r="I34" i="7"/>
  <c r="H34" i="7"/>
  <c r="E34" i="7"/>
  <c r="D34" i="7"/>
  <c r="J34" i="7" s="1"/>
  <c r="I33" i="7"/>
  <c r="H33" i="7"/>
  <c r="E33" i="7"/>
  <c r="D33" i="7"/>
  <c r="J33" i="7" s="1"/>
  <c r="I32" i="7"/>
  <c r="H32" i="7"/>
  <c r="E32" i="7"/>
  <c r="D32" i="7"/>
  <c r="J32" i="7" s="1"/>
  <c r="I31" i="7"/>
  <c r="H31" i="7"/>
  <c r="E31" i="7"/>
  <c r="D31" i="7"/>
  <c r="J31" i="7" s="1"/>
  <c r="I30" i="7"/>
  <c r="H30" i="7"/>
  <c r="E30" i="7"/>
  <c r="D30" i="7"/>
  <c r="K30" i="7" s="1"/>
  <c r="I29" i="7"/>
  <c r="H29" i="7"/>
  <c r="E29" i="7"/>
  <c r="D29" i="7"/>
  <c r="J29" i="7" s="1"/>
  <c r="I28" i="7"/>
  <c r="H28" i="7"/>
  <c r="E28" i="7"/>
  <c r="D28" i="7"/>
  <c r="J28" i="7" s="1"/>
  <c r="I27" i="7"/>
  <c r="H27" i="7"/>
  <c r="E27" i="7"/>
  <c r="D27" i="7"/>
  <c r="J27" i="7" s="1"/>
  <c r="I26" i="7"/>
  <c r="H26" i="7"/>
  <c r="E26" i="7"/>
  <c r="D26" i="7"/>
  <c r="J26" i="7" s="1"/>
  <c r="I25" i="7"/>
  <c r="H25" i="7"/>
  <c r="E25" i="7"/>
  <c r="D25" i="7"/>
  <c r="J25" i="7" s="1"/>
  <c r="I24" i="7"/>
  <c r="H24" i="7"/>
  <c r="E24" i="7"/>
  <c r="D24" i="7"/>
  <c r="J24" i="7" s="1"/>
  <c r="I23" i="7"/>
  <c r="H23" i="7"/>
  <c r="E23" i="7"/>
  <c r="D23" i="7"/>
  <c r="J23" i="7" s="1"/>
  <c r="I22" i="7"/>
  <c r="H22" i="7"/>
  <c r="E22" i="7"/>
  <c r="D22" i="7"/>
  <c r="K22" i="7" s="1"/>
  <c r="I21" i="7"/>
  <c r="H21" i="7"/>
  <c r="E21" i="7"/>
  <c r="D21" i="7"/>
  <c r="J21" i="7" s="1"/>
  <c r="I20" i="7"/>
  <c r="H20" i="7"/>
  <c r="E20" i="7"/>
  <c r="D20" i="7"/>
  <c r="J20" i="7" s="1"/>
  <c r="I19" i="7"/>
  <c r="H19" i="7"/>
  <c r="E19" i="7"/>
  <c r="D19" i="7"/>
  <c r="J19" i="7" s="1"/>
  <c r="I18" i="7"/>
  <c r="H18" i="7"/>
  <c r="E18" i="7"/>
  <c r="D18" i="7"/>
  <c r="K18" i="7" s="1"/>
  <c r="I17" i="7"/>
  <c r="H17" i="7"/>
  <c r="E17" i="7"/>
  <c r="D17" i="7"/>
  <c r="K17" i="7" s="1"/>
  <c r="I16" i="7"/>
  <c r="H16" i="7"/>
  <c r="E16" i="7"/>
  <c r="D16" i="7"/>
  <c r="J16" i="7" s="1"/>
  <c r="I15" i="7"/>
  <c r="H15" i="7"/>
  <c r="E15" i="7"/>
  <c r="D15" i="7"/>
  <c r="J15" i="7" s="1"/>
  <c r="I14" i="7"/>
  <c r="H14" i="7"/>
  <c r="E14" i="7"/>
  <c r="D14" i="7"/>
  <c r="J14" i="7" s="1"/>
  <c r="I13" i="7"/>
  <c r="H13" i="7"/>
  <c r="E13" i="7"/>
  <c r="D13" i="7"/>
  <c r="K13" i="7" s="1"/>
  <c r="I12" i="7"/>
  <c r="H12" i="7"/>
  <c r="E12" i="7"/>
  <c r="D12" i="7"/>
  <c r="J12" i="7" s="1"/>
  <c r="I11" i="7"/>
  <c r="H11" i="7"/>
  <c r="E11" i="7"/>
  <c r="D11" i="7"/>
  <c r="J11" i="7" s="1"/>
  <c r="I10" i="7"/>
  <c r="H10" i="7"/>
  <c r="E10" i="7"/>
  <c r="D10" i="7"/>
  <c r="K10" i="7" s="1"/>
  <c r="I9" i="7"/>
  <c r="H9" i="7"/>
  <c r="E9" i="7"/>
  <c r="D9" i="7"/>
  <c r="J9" i="7" s="1"/>
  <c r="I8" i="7"/>
  <c r="H8" i="7"/>
  <c r="E8" i="7"/>
  <c r="D8" i="7"/>
  <c r="J8" i="7" s="1"/>
  <c r="I7" i="7"/>
  <c r="H7" i="7"/>
  <c r="E7" i="7"/>
  <c r="D7" i="7"/>
  <c r="J7" i="7" s="1"/>
  <c r="I6" i="7"/>
  <c r="H6" i="7"/>
  <c r="E6" i="7"/>
  <c r="D6" i="7"/>
  <c r="K6" i="7" s="1"/>
  <c r="I5" i="7"/>
  <c r="H5" i="7"/>
  <c r="E5" i="7"/>
  <c r="D5" i="7"/>
  <c r="K5" i="7" s="1"/>
  <c r="I4" i="7"/>
  <c r="H4" i="7"/>
  <c r="E4" i="7"/>
  <c r="D4" i="7"/>
  <c r="J4" i="7" s="1"/>
  <c r="I3" i="7"/>
  <c r="H3" i="7"/>
  <c r="E3" i="7"/>
  <c r="D3" i="7"/>
  <c r="J3" i="7" s="1"/>
  <c r="J6" i="7" l="1"/>
  <c r="J10" i="7"/>
  <c r="J13" i="7"/>
  <c r="J17" i="7"/>
  <c r="J22" i="7"/>
  <c r="J30" i="7"/>
  <c r="J41" i="7"/>
  <c r="K4" i="7"/>
  <c r="K7" i="7"/>
  <c r="K9" i="7"/>
  <c r="K11" i="7"/>
  <c r="K12" i="7"/>
  <c r="K14" i="7"/>
  <c r="K15" i="7"/>
  <c r="K16" i="7"/>
  <c r="K19" i="7"/>
  <c r="K20" i="7"/>
  <c r="K21" i="7"/>
  <c r="K23" i="7"/>
  <c r="K24" i="7"/>
  <c r="K25" i="7"/>
  <c r="K26" i="7"/>
  <c r="K27" i="7"/>
  <c r="K28" i="7"/>
  <c r="K29" i="7"/>
  <c r="K31" i="7"/>
  <c r="K32" i="7"/>
  <c r="K33" i="7"/>
  <c r="K34" i="7"/>
  <c r="K35" i="7"/>
  <c r="K36" i="7"/>
  <c r="K37" i="7"/>
  <c r="K38" i="7"/>
  <c r="K39" i="7"/>
  <c r="K40" i="7"/>
  <c r="K42" i="7"/>
  <c r="J18" i="7"/>
  <c r="K3" i="7"/>
  <c r="K8" i="7"/>
  <c r="J5" i="7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2" i="4"/>
</calcChain>
</file>

<file path=xl/sharedStrings.xml><?xml version="1.0" encoding="utf-8"?>
<sst xmlns="http://schemas.openxmlformats.org/spreadsheetml/2006/main" count="340" uniqueCount="166">
  <si>
    <t>pH SN   (MAY)</t>
  </si>
  <si>
    <t>pH SN (MAY)  STDEV</t>
  </si>
  <si>
    <t>pH SN   (SEP)</t>
  </si>
  <si>
    <t>pH SN (SEP)  STDEV</t>
  </si>
  <si>
    <t>pH SU   (MAY)</t>
  </si>
  <si>
    <t>pH SU (MAY)  STDEV</t>
  </si>
  <si>
    <t>pH SU   (SEP)</t>
  </si>
  <si>
    <t>pH SU (SEP)  STDEV</t>
  </si>
  <si>
    <t>Sample #</t>
  </si>
  <si>
    <t>STDEV LOI(MAY)</t>
  </si>
  <si>
    <t>STDEV LOI(SEP)</t>
  </si>
  <si>
    <t>Dry bulk density, g/kg (MAY)</t>
  </si>
  <si>
    <t>Dry bulk density, g/kg, LOI(SEP)</t>
  </si>
  <si>
    <t>Date and time</t>
  </si>
  <si>
    <t>STDEV</t>
  </si>
  <si>
    <t>TN</t>
  </si>
  <si>
    <t>May # 1</t>
  </si>
  <si>
    <t>May # 2</t>
  </si>
  <si>
    <t>Mean May</t>
  </si>
  <si>
    <t>Sep # 1</t>
  </si>
  <si>
    <t>Sep # 2</t>
  </si>
  <si>
    <t>Mean Sep</t>
  </si>
  <si>
    <t>Mean TN 2015</t>
  </si>
  <si>
    <t>g/kg</t>
  </si>
  <si>
    <t>LOI, %(MAY)</t>
  </si>
  <si>
    <t>LOI, % (SEP)</t>
  </si>
  <si>
    <t>MAY  2015</t>
  </si>
  <si>
    <t>SEPT 2015</t>
  </si>
  <si>
    <t>Samples</t>
  </si>
  <si>
    <t>TC (MAY)</t>
  </si>
  <si>
    <t>SE</t>
  </si>
  <si>
    <t>TOC (MAY)</t>
  </si>
  <si>
    <t>TIC</t>
  </si>
  <si>
    <t>TC (SEP)</t>
  </si>
  <si>
    <t xml:space="preserve">TOC(SEP) </t>
  </si>
  <si>
    <t>STDEV May</t>
  </si>
  <si>
    <t>STDEVSept</t>
  </si>
  <si>
    <t>STDEV May Sept</t>
  </si>
  <si>
    <t>Soil Moisture gravimetric, % (MAY)</t>
  </si>
  <si>
    <t>Soil Moisture gravimetric, % (SEP)</t>
  </si>
  <si>
    <t>Soil Moisture volumetric, (cm3/cm3) (MAY)</t>
  </si>
  <si>
    <t>Soil Moisture volumetric, (cm3/cm3) (September)</t>
  </si>
  <si>
    <t>tC/ha</t>
  </si>
  <si>
    <t>Total organic carbon</t>
  </si>
  <si>
    <t>Total nitrogen</t>
  </si>
  <si>
    <t>missing</t>
  </si>
  <si>
    <t>TC,  [g/kg]</t>
  </si>
  <si>
    <t>TOC,  [g/kg]</t>
  </si>
  <si>
    <t>TIC=TC-TOC, [g/kg]</t>
  </si>
  <si>
    <t>EC SN   (MAY), μS/cm</t>
  </si>
  <si>
    <t>EC SN (MAY)  STDEV, μS/cm</t>
  </si>
  <si>
    <t>EC SN   (SEP), μS/cm</t>
  </si>
  <si>
    <t>EC SN (SEP)  STDEV, μS/cm</t>
  </si>
  <si>
    <t>Internal sample #</t>
  </si>
  <si>
    <t>Location</t>
  </si>
  <si>
    <t>Site Description</t>
  </si>
  <si>
    <t>Land Use /Cover</t>
  </si>
  <si>
    <t>Elevation, meters (msl)</t>
  </si>
  <si>
    <t xml:space="preserve">Biome </t>
  </si>
  <si>
    <t>Environmental Feature</t>
  </si>
  <si>
    <t>Soil type</t>
  </si>
  <si>
    <t>Longtitude</t>
  </si>
  <si>
    <t xml:space="preserve">Latitude </t>
  </si>
  <si>
    <t>Mean total precipitation, mm</t>
  </si>
  <si>
    <t>Mean annual temperature, ºC</t>
  </si>
  <si>
    <t>Petropavlovsk town</t>
  </si>
  <si>
    <t>shrubland near Petrapavlovsk city</t>
  </si>
  <si>
    <t>shrub cover</t>
  </si>
  <si>
    <t xml:space="preserve">temperate shrubland </t>
  </si>
  <si>
    <t>scrubland</t>
  </si>
  <si>
    <t xml:space="preserve">chernozem </t>
  </si>
  <si>
    <t>Bishkul village</t>
  </si>
  <si>
    <t>cropland</t>
  </si>
  <si>
    <t>crop cover</t>
  </si>
  <si>
    <t>temperate grassland</t>
  </si>
  <si>
    <t>steppe soil</t>
  </si>
  <si>
    <t>Astrakhanka village</t>
  </si>
  <si>
    <t>edge of birch forest</t>
  </si>
  <si>
    <t>tree cover</t>
  </si>
  <si>
    <t>temperate broadleaf forest</t>
  </si>
  <si>
    <t>broadleaf forest</t>
  </si>
  <si>
    <t>Rublivka village</t>
  </si>
  <si>
    <t>grass cover</t>
  </si>
  <si>
    <t>Roshinskoe village</t>
  </si>
  <si>
    <t xml:space="preserve">grassland </t>
  </si>
  <si>
    <t>Obukhovka village</t>
  </si>
  <si>
    <t>Kokshetau town</t>
  </si>
  <si>
    <t>perennial grassland</t>
  </si>
  <si>
    <t>Kenesary village</t>
  </si>
  <si>
    <t>Shuchinsk village</t>
  </si>
  <si>
    <t>Makinka village</t>
  </si>
  <si>
    <t xml:space="preserve">pine-birch forest </t>
  </si>
  <si>
    <t>temperate mixed forest</t>
  </si>
  <si>
    <t>mixed forest</t>
  </si>
  <si>
    <t>Krasniy Gornyak village</t>
  </si>
  <si>
    <t>Bozaigyr</t>
  </si>
  <si>
    <t>kastanozem</t>
  </si>
  <si>
    <t>near Astana city</t>
  </si>
  <si>
    <t>30 km to Astana city</t>
  </si>
  <si>
    <t>human planted shrubs</t>
  </si>
  <si>
    <t xml:space="preserve">planted shrubland </t>
  </si>
  <si>
    <t>Anar village</t>
  </si>
  <si>
    <t>Oshgandy village</t>
  </si>
  <si>
    <t>near Karaganda city</t>
  </si>
  <si>
    <t>Kyzylkoy village</t>
  </si>
  <si>
    <t>perennial grass</t>
  </si>
  <si>
    <t>calcisol + solonetz</t>
  </si>
  <si>
    <t>Aksu-Ayuly village</t>
  </si>
  <si>
    <t>chestnut, rich, perennial grassland</t>
  </si>
  <si>
    <t>Batystau village</t>
  </si>
  <si>
    <t>perennial grassland with small shrubs</t>
  </si>
  <si>
    <t>Zharylgap batyr</t>
  </si>
  <si>
    <t>rocky grassland, small hills</t>
  </si>
  <si>
    <t>arenosol</t>
  </si>
  <si>
    <t>Eski Karabulak</t>
  </si>
  <si>
    <t>rocky grassland</t>
  </si>
  <si>
    <t>Bektau Ata Mountains</t>
  </si>
  <si>
    <t>rocky, near mountains</t>
  </si>
  <si>
    <t>temperate desert</t>
  </si>
  <si>
    <t xml:space="preserve">temperate desert </t>
  </si>
  <si>
    <t>arenosol + solonetz</t>
  </si>
  <si>
    <t>Konyrat settlement</t>
  </si>
  <si>
    <t>15 km from Balkhash, rocky soil</t>
  </si>
  <si>
    <t xml:space="preserve">barren land </t>
  </si>
  <si>
    <t>desert</t>
  </si>
  <si>
    <t>Balkhash town</t>
  </si>
  <si>
    <t>little vegetation, near Balkhash town</t>
  </si>
  <si>
    <t>Gulshat, Lake Balkhash</t>
  </si>
  <si>
    <t>dry, little vegetation</t>
  </si>
  <si>
    <t>Saryshagan, Lake Balkhash</t>
  </si>
  <si>
    <t>dry, solonchak, desert shrubs</t>
  </si>
  <si>
    <t>solonchak + solonetz</t>
  </si>
  <si>
    <t>Zhastar, Lake Balkhash</t>
  </si>
  <si>
    <t>rocky, solonchak, depression</t>
  </si>
  <si>
    <t>Akerme, Lake Balkhash</t>
  </si>
  <si>
    <t>dry, rocky</t>
  </si>
  <si>
    <t>desert scrubland</t>
  </si>
  <si>
    <t>Barylbaytal, Lake Balkhash</t>
  </si>
  <si>
    <t>Mirnyi</t>
  </si>
  <si>
    <t xml:space="preserve">dry, small ground unidentified shrubs </t>
  </si>
  <si>
    <t>Khantau</t>
  </si>
  <si>
    <t>dry, 30 m from the road, shrubs</t>
  </si>
  <si>
    <t>desert shrubland</t>
  </si>
  <si>
    <t>Kenes</t>
  </si>
  <si>
    <t>crop field between tree lines</t>
  </si>
  <si>
    <t>chernozem+ solonetz</t>
  </si>
  <si>
    <t>Birlik</t>
  </si>
  <si>
    <t>floodplain valley river Shu</t>
  </si>
  <si>
    <t>flood plain</t>
  </si>
  <si>
    <t>regosol</t>
  </si>
  <si>
    <t>Tasytkel</t>
  </si>
  <si>
    <t>grassland</t>
  </si>
  <si>
    <t xml:space="preserve">temperate grassland </t>
  </si>
  <si>
    <t>Zhdanovo</t>
  </si>
  <si>
    <t>200 m from the highway</t>
  </si>
  <si>
    <t>Merke</t>
  </si>
  <si>
    <t>flood plain the Valley of Shu river</t>
  </si>
  <si>
    <t>Kokdonen</t>
  </si>
  <si>
    <t>50-70 m from the road, cropland</t>
  </si>
  <si>
    <t xml:space="preserve">montane  temperate grassland </t>
  </si>
  <si>
    <t>umbrisol</t>
  </si>
  <si>
    <t>Akyrtobe</t>
  </si>
  <si>
    <t>grass, cereal monoculture, mountain valley</t>
  </si>
  <si>
    <t>5 km from Taraz town</t>
  </si>
  <si>
    <t>cropland, 5 km from Taraz, perenial grass</t>
  </si>
  <si>
    <t xml:space="preserve">montane temperate grassland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</si>
</sst>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0"/>
    <numFmt numFmtId="165" formatCode="0.0"/>
  </numFmts>
  <fonts count="17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charset val="204"/>
    </font>
    <font>
      <sz val="11"/>
      <color rgb="FF000000"/>
      <name val="Calibri"/>
    </font>
    <font>
      <sz val="12"/>
      <color rgb="FF000000"/>
      <name val="Arial"/>
      <family val="2"/>
    </font>
    <font>
      <sz val="11"/>
      <color rgb="FF000000"/>
      <name val="Calibri"/>
      <family val="2"/>
      <charset val="204"/>
      <scheme val="minor"/>
    </font>
    <font>
      <sz val="12"/>
      <color rgb="FF000000"/>
      <name val="Arial"/>
      <family val="2"/>
      <charset val="204"/>
    </font>
    <font>
      <b/>
      <sz val="1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0" fontId="5" fillId="0" borderId="0"/>
    <xf numFmtId="0" fontId="8" fillId="0" borderId="0"/>
    <xf numFmtId="0" fontId="6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0" fontId="0" fillId="0" borderId="0" xfId="0" applyFont="1" applyAlignment="1"/>
    <xf numFmtId="0" fontId="5" fillId="0" borderId="1" xfId="1" applyNumberFormat="1" applyFill="1" applyBorder="1" applyAlignment="1">
      <alignment horizontal="center"/>
    </xf>
    <xf numFmtId="0" fontId="7" fillId="0" borderId="1" xfId="1" applyNumberFormat="1" applyFont="1" applyFill="1" applyBorder="1" applyAlignment="1">
      <alignment horizontal="center"/>
    </xf>
    <xf numFmtId="2" fontId="5" fillId="0" borderId="1" xfId="1" applyNumberFormat="1" applyFill="1" applyBorder="1" applyAlignment="1">
      <alignment horizontal="center"/>
    </xf>
    <xf numFmtId="0" fontId="0" fillId="0" borderId="0" xfId="0" applyFont="1" applyAlignment="1">
      <alignment horizontal="center"/>
    </xf>
    <xf numFmtId="2" fontId="0" fillId="0" borderId="1" xfId="0" applyNumberFormat="1" applyFont="1" applyBorder="1" applyAlignment="1">
      <alignment horizontal="center"/>
    </xf>
    <xf numFmtId="4" fontId="5" fillId="0" borderId="1" xfId="1" applyNumberFormat="1" applyBorder="1" applyAlignment="1">
      <alignment horizontal="center"/>
    </xf>
    <xf numFmtId="4" fontId="5" fillId="0" borderId="1" xfId="1" applyNumberFormat="1" applyFon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2" fontId="7" fillId="2" borderId="1" xfId="1" applyNumberFormat="1" applyFont="1" applyFill="1" applyBorder="1" applyAlignment="1">
      <alignment horizontal="center"/>
    </xf>
    <xf numFmtId="0" fontId="6" fillId="0" borderId="0" xfId="3" applyFont="1" applyAlignment="1"/>
    <xf numFmtId="0" fontId="6" fillId="0" borderId="0" xfId="3" applyFont="1" applyFill="1" applyAlignment="1"/>
    <xf numFmtId="0" fontId="4" fillId="0" borderId="0" xfId="4"/>
    <xf numFmtId="0" fontId="4" fillId="0" borderId="1" xfId="4" applyBorder="1"/>
    <xf numFmtId="0" fontId="4" fillId="0" borderId="1" xfId="4" applyBorder="1" applyAlignment="1">
      <alignment horizontal="center" vertical="center"/>
    </xf>
    <xf numFmtId="2" fontId="4" fillId="0" borderId="1" xfId="4" applyNumberFormat="1" applyBorder="1" applyAlignment="1">
      <alignment horizontal="center" vertical="center"/>
    </xf>
    <xf numFmtId="2" fontId="4" fillId="0" borderId="1" xfId="4" applyNumberFormat="1" applyBorder="1"/>
    <xf numFmtId="2" fontId="4" fillId="0" borderId="1" xfId="4" applyNumberFormat="1" applyBorder="1" applyAlignment="1">
      <alignment horizontal="center"/>
    </xf>
    <xf numFmtId="0" fontId="10" fillId="0" borderId="1" xfId="3" applyFont="1" applyBorder="1" applyAlignment="1"/>
    <xf numFmtId="0" fontId="10" fillId="0" borderId="2" xfId="3" applyNumberFormat="1" applyFont="1" applyFill="1" applyBorder="1" applyAlignment="1">
      <alignment horizontal="center" vertical="center"/>
    </xf>
    <xf numFmtId="164" fontId="10" fillId="0" borderId="1" xfId="3" applyNumberFormat="1" applyFont="1" applyBorder="1" applyAlignment="1"/>
    <xf numFmtId="164" fontId="10" fillId="0" borderId="1" xfId="3" applyNumberFormat="1" applyFont="1" applyFill="1" applyBorder="1" applyAlignment="1"/>
    <xf numFmtId="22" fontId="10" fillId="0" borderId="1" xfId="0" applyNumberFormat="1" applyFont="1" applyBorder="1" applyAlignment="1">
      <alignment horizontal="center" vertical="center"/>
    </xf>
    <xf numFmtId="164" fontId="10" fillId="0" borderId="1" xfId="3" applyNumberFormat="1" applyFont="1" applyBorder="1" applyAlignment="1">
      <alignment horizontal="center" vertical="center"/>
    </xf>
    <xf numFmtId="164" fontId="10" fillId="0" borderId="1" xfId="3" applyNumberFormat="1" applyFont="1" applyFill="1" applyBorder="1" applyAlignment="1">
      <alignment horizontal="center" vertical="center"/>
    </xf>
    <xf numFmtId="0" fontId="11" fillId="0" borderId="1" xfId="3" applyFont="1" applyFill="1" applyBorder="1" applyAlignment="1"/>
    <xf numFmtId="0" fontId="11" fillId="0" borderId="2" xfId="3" applyNumberFormat="1" applyFont="1" applyFill="1" applyBorder="1" applyAlignment="1">
      <alignment horizontal="center" vertical="center"/>
    </xf>
    <xf numFmtId="2" fontId="11" fillId="0" borderId="1" xfId="3" applyNumberFormat="1" applyFont="1" applyFill="1" applyBorder="1" applyAlignment="1"/>
    <xf numFmtId="2" fontId="11" fillId="0" borderId="2" xfId="3" applyNumberFormat="1" applyFont="1" applyFill="1" applyBorder="1" applyAlignment="1">
      <alignment horizontal="right" vertical="center"/>
    </xf>
    <xf numFmtId="0" fontId="3" fillId="0" borderId="1" xfId="4" applyFont="1" applyBorder="1"/>
    <xf numFmtId="0" fontId="10" fillId="2" borderId="1" xfId="2" applyNumberFormat="1" applyFont="1" applyFill="1" applyBorder="1" applyAlignment="1">
      <alignment horizontal="center" vertical="center"/>
    </xf>
    <xf numFmtId="0" fontId="10" fillId="0" borderId="1" xfId="3" applyFont="1" applyBorder="1" applyAlignment="1">
      <alignment horizontal="center" vertical="center"/>
    </xf>
    <xf numFmtId="0" fontId="10" fillId="2" borderId="1" xfId="2" applyNumberFormat="1" applyFont="1" applyFill="1" applyBorder="1" applyAlignment="1">
      <alignment horizontal="center"/>
    </xf>
    <xf numFmtId="0" fontId="7" fillId="2" borderId="1" xfId="1" applyNumberFormat="1" applyFont="1" applyFill="1" applyBorder="1" applyAlignment="1">
      <alignment horizontal="center"/>
    </xf>
    <xf numFmtId="4" fontId="7" fillId="2" borderId="1" xfId="1" applyNumberFormat="1" applyFont="1" applyFill="1" applyBorder="1" applyAlignment="1">
      <alignment horizontal="center"/>
    </xf>
    <xf numFmtId="2" fontId="9" fillId="0" borderId="1" xfId="0" applyNumberFormat="1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3" applyFont="1" applyFill="1" applyBorder="1" applyAlignment="1">
      <alignment horizontal="center" vertical="center"/>
    </xf>
    <xf numFmtId="49" fontId="11" fillId="0" borderId="1" xfId="3" applyNumberFormat="1" applyFont="1" applyFill="1" applyBorder="1" applyAlignment="1" applyProtection="1">
      <alignment horizontal="center" vertical="center"/>
    </xf>
    <xf numFmtId="2" fontId="11" fillId="0" borderId="1" xfId="3" applyNumberFormat="1" applyFont="1" applyFill="1" applyBorder="1" applyAlignment="1">
      <alignment horizontal="center" vertical="center"/>
    </xf>
    <xf numFmtId="2" fontId="0" fillId="0" borderId="0" xfId="0" applyNumberFormat="1" applyFont="1" applyAlignment="1">
      <alignment horizontal="center"/>
    </xf>
    <xf numFmtId="0" fontId="2" fillId="0" borderId="1" xfId="4" applyFont="1" applyBorder="1"/>
    <xf numFmtId="0" fontId="12" fillId="3" borderId="7" xfId="6" applyFont="1" applyFill="1" applyBorder="1" applyAlignment="1">
      <alignment horizontal="center" wrapText="1"/>
    </xf>
    <xf numFmtId="0" fontId="13" fillId="3" borderId="7" xfId="6" applyFont="1" applyFill="1" applyBorder="1" applyAlignment="1">
      <alignment horizontal="center" wrapText="1"/>
    </xf>
    <xf numFmtId="0" fontId="12" fillId="3" borderId="7" xfId="6" applyFont="1" applyFill="1" applyBorder="1" applyAlignment="1">
      <alignment horizontal="center" vertical="center" wrapText="1"/>
    </xf>
    <xf numFmtId="0" fontId="1" fillId="3" borderId="0" xfId="6" applyFill="1"/>
    <xf numFmtId="0" fontId="14" fillId="3" borderId="0" xfId="6" applyFont="1" applyFill="1" applyAlignment="1">
      <alignment horizontal="center" vertical="center"/>
    </xf>
    <xf numFmtId="0" fontId="15" fillId="3" borderId="0" xfId="6" applyFont="1" applyFill="1" applyAlignment="1">
      <alignment horizontal="center" vertical="center"/>
    </xf>
    <xf numFmtId="164" fontId="15" fillId="3" borderId="0" xfId="6" applyNumberFormat="1" applyFont="1" applyFill="1" applyAlignment="1">
      <alignment horizontal="center" vertical="center"/>
    </xf>
    <xf numFmtId="1" fontId="14" fillId="3" borderId="0" xfId="6" applyNumberFormat="1" applyFont="1" applyFill="1" applyAlignment="1">
      <alignment horizontal="center" vertical="center"/>
    </xf>
    <xf numFmtId="165" fontId="14" fillId="3" borderId="0" xfId="6" applyNumberFormat="1" applyFont="1" applyFill="1" applyAlignment="1">
      <alignment horizontal="center" vertical="center"/>
    </xf>
    <xf numFmtId="165" fontId="16" fillId="3" borderId="0" xfId="6" applyNumberFormat="1" applyFont="1" applyFill="1" applyAlignment="1">
      <alignment horizontal="center" vertical="center"/>
    </xf>
    <xf numFmtId="0" fontId="11" fillId="0" borderId="3" xfId="3" applyFont="1" applyFill="1" applyBorder="1" applyAlignment="1">
      <alignment horizontal="center"/>
    </xf>
    <xf numFmtId="0" fontId="11" fillId="0" borderId="6" xfId="3" applyFont="1" applyFill="1" applyBorder="1" applyAlignment="1">
      <alignment horizontal="center"/>
    </xf>
    <xf numFmtId="49" fontId="11" fillId="0" borderId="2" xfId="3" applyNumberFormat="1" applyFont="1" applyFill="1" applyBorder="1" applyAlignment="1" applyProtection="1">
      <alignment horizontal="center"/>
    </xf>
    <xf numFmtId="49" fontId="11" fillId="0" borderId="4" xfId="3" applyNumberFormat="1" applyFont="1" applyFill="1" applyBorder="1" applyAlignment="1" applyProtection="1">
      <alignment horizontal="center"/>
    </xf>
    <xf numFmtId="49" fontId="11" fillId="0" borderId="5" xfId="3" applyNumberFormat="1" applyFont="1" applyFill="1" applyBorder="1" applyAlignment="1" applyProtection="1">
      <alignment horizontal="center"/>
    </xf>
    <xf numFmtId="49" fontId="11" fillId="0" borderId="1" xfId="3" applyNumberFormat="1" applyFont="1" applyFill="1" applyBorder="1" applyAlignment="1" applyProtection="1">
      <alignment horizontal="center"/>
    </xf>
    <xf numFmtId="0" fontId="11" fillId="0" borderId="1" xfId="3" applyFont="1" applyFill="1" applyBorder="1" applyAlignment="1">
      <alignment horizontal="center"/>
    </xf>
    <xf numFmtId="0" fontId="11" fillId="0" borderId="3" xfId="3" applyFont="1" applyFill="1" applyBorder="1" applyAlignment="1">
      <alignment horizontal="center" vertical="center"/>
    </xf>
    <xf numFmtId="0" fontId="11" fillId="0" borderId="6" xfId="3" applyFont="1" applyFill="1" applyBorder="1" applyAlignment="1">
      <alignment horizontal="center" vertical="center"/>
    </xf>
  </cellXfs>
  <cellStyles count="7">
    <cellStyle name="Normal" xfId="0" builtinId="0"/>
    <cellStyle name="Normal 2" xfId="1"/>
    <cellStyle name="Normal 2 2" xfId="2"/>
    <cellStyle name="Normal 3" xfId="3"/>
    <cellStyle name="Normal 4" xfId="4"/>
    <cellStyle name="Normal 5" xfId="5"/>
    <cellStyle name="Normal 6" xfId="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'TOC and TN stocks'!#REF!</c:f>
            </c:strRef>
          </c:tx>
          <c:invertIfNegative val="0"/>
          <c:val>
            <c:numRef>
              <c:f>'TOC and TN stocks'!#REF!</c:f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7FF-4677-8BBE-70F8FDC79C7D}"/>
            </c:ext>
          </c:extLst>
        </c:ser>
        <c:ser>
          <c:idx val="1"/>
          <c:order val="1"/>
          <c:tx>
            <c:strRef>
              <c:f>'TOC and TN stocks'!#REF!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val>
            <c:numRef>
              <c:f>'TOC and TN stocks (8)'!$B$3:$B$42</c:f>
              <c:numCache>
                <c:formatCode>0.00</c:formatCode>
                <c:ptCount val="40"/>
                <c:pt idx="0">
                  <c:v>21.767191950000001</c:v>
                </c:pt>
                <c:pt idx="1">
                  <c:v>45.343799999999995</c:v>
                </c:pt>
                <c:pt idx="2">
                  <c:v>73.64700000000002</c:v>
                </c:pt>
                <c:pt idx="3">
                  <c:v>32.688000000000002</c:v>
                </c:pt>
                <c:pt idx="4">
                  <c:v>42.276299999999992</c:v>
                </c:pt>
                <c:pt idx="5">
                  <c:v>45.594900000000003</c:v>
                </c:pt>
                <c:pt idx="6">
                  <c:v>38.1907</c:v>
                </c:pt>
                <c:pt idx="7">
                  <c:v>39.098700000000001</c:v>
                </c:pt>
                <c:pt idx="8">
                  <c:v>63.58005</c:v>
                </c:pt>
                <c:pt idx="9">
                  <c:v>35.261999999999993</c:v>
                </c:pt>
                <c:pt idx="10">
                  <c:v>24.900749999999995</c:v>
                </c:pt>
                <c:pt idx="11">
                  <c:v>31.454999999999991</c:v>
                </c:pt>
                <c:pt idx="12">
                  <c:v>41.801249999999996</c:v>
                </c:pt>
                <c:pt idx="13">
                  <c:v>39.483000000000004</c:v>
                </c:pt>
                <c:pt idx="14">
                  <c:v>36.483750000000001</c:v>
                </c:pt>
                <c:pt idx="15">
                  <c:v>34.301625000000001</c:v>
                </c:pt>
                <c:pt idx="16">
                  <c:v>41.161650000000009</c:v>
                </c:pt>
                <c:pt idx="17">
                  <c:v>30.038400000000003</c:v>
                </c:pt>
                <c:pt idx="18">
                  <c:v>22.705799999999996</c:v>
                </c:pt>
                <c:pt idx="19">
                  <c:v>29.743200000000005</c:v>
                </c:pt>
                <c:pt idx="20">
                  <c:v>24.657549999999997</c:v>
                </c:pt>
                <c:pt idx="21">
                  <c:v>18.316200000000002</c:v>
                </c:pt>
                <c:pt idx="22">
                  <c:v>14.666100000000002</c:v>
                </c:pt>
                <c:pt idx="23">
                  <c:v>15.835299999999998</c:v>
                </c:pt>
                <c:pt idx="24">
                  <c:v>16.191999999999997</c:v>
                </c:pt>
                <c:pt idx="25">
                  <c:v>13.883999999999997</c:v>
                </c:pt>
                <c:pt idx="26">
                  <c:v>15.084899999999999</c:v>
                </c:pt>
                <c:pt idx="27">
                  <c:v>8.9774999999999991</c:v>
                </c:pt>
                <c:pt idx="28">
                  <c:v>12.282000000000002</c:v>
                </c:pt>
                <c:pt idx="29">
                  <c:v>9.677249999999999</c:v>
                </c:pt>
                <c:pt idx="30">
                  <c:v>20.500275000000002</c:v>
                </c:pt>
                <c:pt idx="31">
                  <c:v>19.315799999999999</c:v>
                </c:pt>
                <c:pt idx="32">
                  <c:v>22.891199999999998</c:v>
                </c:pt>
                <c:pt idx="33">
                  <c:v>39.028500000000001</c:v>
                </c:pt>
                <c:pt idx="34">
                  <c:v>10.881224999999999</c:v>
                </c:pt>
                <c:pt idx="35">
                  <c:v>45.265200000000014</c:v>
                </c:pt>
                <c:pt idx="36">
                  <c:v>35.002124999999999</c:v>
                </c:pt>
                <c:pt idx="37">
                  <c:v>26.611199999999997</c:v>
                </c:pt>
                <c:pt idx="38">
                  <c:v>18.600974999999998</c:v>
                </c:pt>
                <c:pt idx="39">
                  <c:v>25.192125000000004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7FF-4677-8BBE-70F8FDC79C7D}"/>
            </c:ext>
          </c:extLst>
        </c:ser>
        <c:ser>
          <c:idx val="2"/>
          <c:order val="2"/>
          <c:tx>
            <c:strRef>
              <c:f>'TOC and TN stocks'!#REF!</c:f>
            </c:strRef>
          </c:tx>
          <c:invertIfNegative val="0"/>
          <c:val>
            <c:numRef>
              <c:f>'TOC and TN stocks'!#REF!</c:f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7FF-4677-8BBE-70F8FDC79C7D}"/>
            </c:ext>
          </c:extLst>
        </c:ser>
        <c:ser>
          <c:idx val="3"/>
          <c:order val="3"/>
          <c:tx>
            <c:strRef>
              <c:f>'TC,TOC,TIC AVG,STDEV'!#REF!</c:f>
              <c:strCache>
                <c:ptCount val="1"/>
                <c:pt idx="0">
                  <c:v>#REF!</c:v>
                </c:pt>
              </c:strCache>
            </c:strRef>
          </c:tx>
          <c:invertIfNegative val="0"/>
          <c:val>
            <c:numRef>
              <c:f>'TC,TOC,TIC AVG,STDEV'!#REF!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7FF-4677-8BBE-70F8FDC79C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278656"/>
        <c:axId val="190337792"/>
      </c:barChart>
      <c:catAx>
        <c:axId val="190278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0337792"/>
        <c:crosses val="autoZero"/>
        <c:auto val="1"/>
        <c:lblAlgn val="ctr"/>
        <c:lblOffset val="100"/>
        <c:noMultiLvlLbl val="0"/>
      </c:catAx>
      <c:valAx>
        <c:axId val="19033779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9027865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'TOC and TN stocks'!#REF!</c:f>
            </c:strRef>
          </c:tx>
          <c:invertIfNegative val="0"/>
          <c:errBars>
            <c:errBarType val="both"/>
            <c:errValType val="cust"/>
            <c:noEndCap val="0"/>
            <c:plus>
              <c:numRef>
                <c:f>'TOC and TN stocks'!#REF!</c:f>
              </c:numRef>
            </c:plus>
            <c:minus>
              <c:numRef>
                <c:f>'TOC and TN stocks'!#REF!</c:f>
              </c:numRef>
            </c:minus>
          </c:errBars>
          <c:cat>
            <c:numRef>
              <c:f>'TOC and TN stocks (8)'!$A$3:$A$42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40</c:v>
                </c:pt>
                <c:pt idx="13">
                  <c:v>39</c:v>
                </c:pt>
                <c:pt idx="14">
                  <c:v>38</c:v>
                </c:pt>
                <c:pt idx="15">
                  <c:v>37</c:v>
                </c:pt>
                <c:pt idx="16">
                  <c:v>36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</c:v>
                </c:pt>
                <c:pt idx="21">
                  <c:v>31</c:v>
                </c:pt>
                <c:pt idx="22">
                  <c:v>30</c:v>
                </c:pt>
                <c:pt idx="23">
                  <c:v>29</c:v>
                </c:pt>
                <c:pt idx="24">
                  <c:v>28</c:v>
                </c:pt>
                <c:pt idx="25">
                  <c:v>27</c:v>
                </c:pt>
                <c:pt idx="26">
                  <c:v>26</c:v>
                </c:pt>
                <c:pt idx="27">
                  <c:v>25</c:v>
                </c:pt>
                <c:pt idx="28">
                  <c:v>24</c:v>
                </c:pt>
                <c:pt idx="29">
                  <c:v>23</c:v>
                </c:pt>
                <c:pt idx="30">
                  <c:v>22</c:v>
                </c:pt>
                <c:pt idx="31">
                  <c:v>21</c:v>
                </c:pt>
                <c:pt idx="32">
                  <c:v>20</c:v>
                </c:pt>
                <c:pt idx="33">
                  <c:v>19</c:v>
                </c:pt>
                <c:pt idx="34">
                  <c:v>18</c:v>
                </c:pt>
                <c:pt idx="35">
                  <c:v>17</c:v>
                </c:pt>
                <c:pt idx="36">
                  <c:v>16</c:v>
                </c:pt>
                <c:pt idx="37">
                  <c:v>15</c:v>
                </c:pt>
                <c:pt idx="38">
                  <c:v>14</c:v>
                </c:pt>
                <c:pt idx="39">
                  <c:v>13</c:v>
                </c:pt>
              </c:numCache>
            </c:numRef>
          </c:cat>
          <c:val>
            <c:numRef>
              <c:f>'TOC and TN stocks'!#REF!</c:f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866-4EF1-BD61-30350AFB39F5}"/>
            </c:ext>
          </c:extLst>
        </c:ser>
        <c:ser>
          <c:idx val="1"/>
          <c:order val="1"/>
          <c:tx>
            <c:strRef>
              <c:f>'TOC and TN stocks (8)'!$C$2</c:f>
              <c:strCache>
                <c:ptCount val="1"/>
                <c:pt idx="0">
                  <c:v>tC/ha</c:v>
                </c:pt>
              </c:strCache>
            </c:strRef>
          </c:tx>
          <c:spPr>
            <a:solidFill>
              <a:schemeClr val="bg1">
                <a:lumMod val="65000"/>
              </a:schemeClr>
            </a:solidFill>
          </c:spPr>
          <c:invertIfNegative val="0"/>
          <c:errBars>
            <c:errBarType val="both"/>
            <c:errValType val="cust"/>
            <c:noEndCap val="0"/>
            <c:plus>
              <c:numRef>
                <c:f>'TOC and TN stocks'!#REF!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plus>
            <c:minus>
              <c:numRef>
                <c:f>'TOC and TN stocks'!#REF!</c:f>
                <c:numCache>
                  <c:formatCode>General</c:formatCode>
                  <c:ptCount val="1"/>
                  <c:pt idx="0">
                    <c:v>1</c:v>
                  </c:pt>
                </c:numCache>
              </c:numRef>
            </c:minus>
          </c:errBars>
          <c:cat>
            <c:numRef>
              <c:f>'TOC and TN stocks (8)'!$A$3:$A$42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40</c:v>
                </c:pt>
                <c:pt idx="13">
                  <c:v>39</c:v>
                </c:pt>
                <c:pt idx="14">
                  <c:v>38</c:v>
                </c:pt>
                <c:pt idx="15">
                  <c:v>37</c:v>
                </c:pt>
                <c:pt idx="16">
                  <c:v>36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</c:v>
                </c:pt>
                <c:pt idx="21">
                  <c:v>31</c:v>
                </c:pt>
                <c:pt idx="22">
                  <c:v>30</c:v>
                </c:pt>
                <c:pt idx="23">
                  <c:v>29</c:v>
                </c:pt>
                <c:pt idx="24">
                  <c:v>28</c:v>
                </c:pt>
                <c:pt idx="25">
                  <c:v>27</c:v>
                </c:pt>
                <c:pt idx="26">
                  <c:v>26</c:v>
                </c:pt>
                <c:pt idx="27">
                  <c:v>25</c:v>
                </c:pt>
                <c:pt idx="28">
                  <c:v>24</c:v>
                </c:pt>
                <c:pt idx="29">
                  <c:v>23</c:v>
                </c:pt>
                <c:pt idx="30">
                  <c:v>22</c:v>
                </c:pt>
                <c:pt idx="31">
                  <c:v>21</c:v>
                </c:pt>
                <c:pt idx="32">
                  <c:v>20</c:v>
                </c:pt>
                <c:pt idx="33">
                  <c:v>19</c:v>
                </c:pt>
                <c:pt idx="34">
                  <c:v>18</c:v>
                </c:pt>
                <c:pt idx="35">
                  <c:v>17</c:v>
                </c:pt>
                <c:pt idx="36">
                  <c:v>16</c:v>
                </c:pt>
                <c:pt idx="37">
                  <c:v>15</c:v>
                </c:pt>
                <c:pt idx="38">
                  <c:v>14</c:v>
                </c:pt>
                <c:pt idx="39">
                  <c:v>13</c:v>
                </c:pt>
              </c:numCache>
            </c:numRef>
          </c:cat>
          <c:val>
            <c:numRef>
              <c:f>'TOC and TN stocks (8)'!$C$3:$C$42</c:f>
              <c:numCache>
                <c:formatCode>0.00</c:formatCode>
                <c:ptCount val="40"/>
                <c:pt idx="0">
                  <c:v>1.9380375000000003</c:v>
                </c:pt>
                <c:pt idx="1">
                  <c:v>4.2768000000000006</c:v>
                </c:pt>
                <c:pt idx="2">
                  <c:v>6.3315000000000001</c:v>
                </c:pt>
                <c:pt idx="3">
                  <c:v>4.2029999999999994</c:v>
                </c:pt>
                <c:pt idx="4">
                  <c:v>4.1124000000000001</c:v>
                </c:pt>
                <c:pt idx="5">
                  <c:v>5.2326000000000006</c:v>
                </c:pt>
                <c:pt idx="6">
                  <c:v>3.7700999999999998</c:v>
                </c:pt>
                <c:pt idx="7">
                  <c:v>4.0783500000000004</c:v>
                </c:pt>
                <c:pt idx="8">
                  <c:v>5.0145749999999989</c:v>
                </c:pt>
                <c:pt idx="9">
                  <c:v>2.6189999999999998</c:v>
                </c:pt>
                <c:pt idx="10">
                  <c:v>3.6324750000000008</c:v>
                </c:pt>
                <c:pt idx="11">
                  <c:v>4.1137500000000005</c:v>
                </c:pt>
                <c:pt idx="12">
                  <c:v>3.0405750000000005</c:v>
                </c:pt>
                <c:pt idx="13">
                  <c:v>3.8758500000000002</c:v>
                </c:pt>
                <c:pt idx="14">
                  <c:v>3.8925000000000001</c:v>
                </c:pt>
                <c:pt idx="15">
                  <c:v>3.4738124999999997</c:v>
                </c:pt>
                <c:pt idx="16">
                  <c:v>3.4780875000000004</c:v>
                </c:pt>
                <c:pt idx="17">
                  <c:v>2.8999125000000001</c:v>
                </c:pt>
                <c:pt idx="18">
                  <c:v>2.7121499999999998</c:v>
                </c:pt>
                <c:pt idx="19">
                  <c:v>3.3277500000000004</c:v>
                </c:pt>
                <c:pt idx="20">
                  <c:v>2.5363124999999997</c:v>
                </c:pt>
                <c:pt idx="21">
                  <c:v>2.3829750000000001</c:v>
                </c:pt>
                <c:pt idx="22">
                  <c:v>1.8674999999999999</c:v>
                </c:pt>
                <c:pt idx="23">
                  <c:v>1.7998499999999997</c:v>
                </c:pt>
                <c:pt idx="24">
                  <c:v>1.3662000000000003</c:v>
                </c:pt>
                <c:pt idx="25">
                  <c:v>1.528575</c:v>
                </c:pt>
                <c:pt idx="26">
                  <c:v>1.7100750000000005</c:v>
                </c:pt>
                <c:pt idx="27">
                  <c:v>1.1970000000000001</c:v>
                </c:pt>
                <c:pt idx="28">
                  <c:v>1.3800000000000001</c:v>
                </c:pt>
                <c:pt idx="29">
                  <c:v>1.2495000000000001</c:v>
                </c:pt>
                <c:pt idx="30">
                  <c:v>2.1253875</c:v>
                </c:pt>
                <c:pt idx="31">
                  <c:v>1.7954999999999999</c:v>
                </c:pt>
                <c:pt idx="32">
                  <c:v>2.5821000000000001</c:v>
                </c:pt>
                <c:pt idx="33">
                  <c:v>3.5626499999999997</c:v>
                </c:pt>
                <c:pt idx="34">
                  <c:v>3.3856124999999997</c:v>
                </c:pt>
                <c:pt idx="35">
                  <c:v>3.9647250000000005</c:v>
                </c:pt>
                <c:pt idx="36">
                  <c:v>3.6703125000000005</c:v>
                </c:pt>
                <c:pt idx="37">
                  <c:v>3.2184000000000004</c:v>
                </c:pt>
                <c:pt idx="38">
                  <c:v>2.4728625000000002</c:v>
                </c:pt>
                <c:pt idx="39">
                  <c:v>2.9161125000000001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866-4EF1-BD61-30350AFB39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380672"/>
        <c:axId val="194511232"/>
      </c:barChart>
      <c:catAx>
        <c:axId val="190380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94511232"/>
        <c:crosses val="autoZero"/>
        <c:auto val="1"/>
        <c:lblAlgn val="ctr"/>
        <c:lblOffset val="100"/>
        <c:noMultiLvlLbl val="0"/>
      </c:catAx>
      <c:valAx>
        <c:axId val="19451123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1903806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Soil Total</a:t>
            </a:r>
            <a:r>
              <a:rPr lang="en-US" baseline="0"/>
              <a:t> Carbon Ratios May:September  </a:t>
            </a:r>
            <a:endParaRPr lang="en-US"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8132509916768187E-2"/>
          <c:y val="0.11932479011552906"/>
          <c:w val="0.89553338116531045"/>
          <c:h val="0.66083352757982783"/>
        </c:manualLayout>
      </c:layout>
      <c:scatterChart>
        <c:scatterStyle val="lineMarker"/>
        <c:varyColors val="0"/>
        <c:ser>
          <c:idx val="0"/>
          <c:order val="0"/>
          <c:tx>
            <c:strRef>
              <c:f>'TC,TOC,TIC AVG,STDEV'!#REF!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0"/>
            <c:dispEq val="0"/>
          </c:trendline>
          <c:trendline>
            <c:trendlineType val="linear"/>
            <c:dispRSqr val="1"/>
            <c:dispEq val="0"/>
            <c:trendlineLbl>
              <c:layout>
                <c:manualLayout>
                  <c:x val="6.8200156142064761E-2"/>
                  <c:y val="-8.0770258256364441E-2"/>
                </c:manualLayout>
              </c:layout>
              <c:numFmt formatCode="General" sourceLinked="0"/>
            </c:trendlineLbl>
          </c:trendline>
          <c:xVal>
            <c:numRef>
              <c:f>'TOC and TN stocks (8)'!$A$3:$A$42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40</c:v>
                </c:pt>
                <c:pt idx="13">
                  <c:v>39</c:v>
                </c:pt>
                <c:pt idx="14">
                  <c:v>38</c:v>
                </c:pt>
                <c:pt idx="15">
                  <c:v>37</c:v>
                </c:pt>
                <c:pt idx="16">
                  <c:v>36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</c:v>
                </c:pt>
                <c:pt idx="21">
                  <c:v>31</c:v>
                </c:pt>
                <c:pt idx="22">
                  <c:v>30</c:v>
                </c:pt>
                <c:pt idx="23">
                  <c:v>29</c:v>
                </c:pt>
                <c:pt idx="24">
                  <c:v>28</c:v>
                </c:pt>
                <c:pt idx="25">
                  <c:v>27</c:v>
                </c:pt>
                <c:pt idx="26">
                  <c:v>26</c:v>
                </c:pt>
                <c:pt idx="27">
                  <c:v>25</c:v>
                </c:pt>
                <c:pt idx="28">
                  <c:v>24</c:v>
                </c:pt>
                <c:pt idx="29">
                  <c:v>23</c:v>
                </c:pt>
                <c:pt idx="30">
                  <c:v>22</c:v>
                </c:pt>
                <c:pt idx="31">
                  <c:v>21</c:v>
                </c:pt>
                <c:pt idx="32">
                  <c:v>20</c:v>
                </c:pt>
                <c:pt idx="33">
                  <c:v>19</c:v>
                </c:pt>
                <c:pt idx="34">
                  <c:v>18</c:v>
                </c:pt>
                <c:pt idx="35">
                  <c:v>17</c:v>
                </c:pt>
                <c:pt idx="36">
                  <c:v>16</c:v>
                </c:pt>
                <c:pt idx="37">
                  <c:v>15</c:v>
                </c:pt>
                <c:pt idx="38">
                  <c:v>14</c:v>
                </c:pt>
                <c:pt idx="39">
                  <c:v>13</c:v>
                </c:pt>
              </c:numCache>
            </c:numRef>
          </c:xVal>
          <c:yVal>
            <c:numRef>
              <c:f>'TC,TOC,TIC AVG,STDEV'!#REF!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7A13-4C74-8EDC-062255C25A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545536"/>
        <c:axId val="194560000"/>
      </c:scatterChart>
      <c:valAx>
        <c:axId val="194545536"/>
        <c:scaling>
          <c:orientation val="minMax"/>
          <c:max val="4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Samples</a:t>
                </a:r>
                <a:r>
                  <a:rPr lang="en-US" baseline="0"/>
                  <a:t> (North to South)</a:t>
                </a: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4560000"/>
        <c:crosses val="autoZero"/>
        <c:crossBetween val="midCat"/>
        <c:majorUnit val="1"/>
      </c:valAx>
      <c:valAx>
        <c:axId val="194560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TC(MAY):TC(SEP)</a:t>
                </a:r>
                <a:r>
                  <a:rPr lang="en-US" baseline="0"/>
                  <a:t> ratio</a:t>
                </a:r>
                <a:endParaRPr lang="en-US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94545536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Soil Total Organic Carbon Ratios May</a:t>
            </a:r>
            <a:r>
              <a:rPr lang="en-US" baseline="0"/>
              <a:t>:September</a:t>
            </a:r>
            <a:endParaRPr lang="en-US"/>
          </a:p>
        </c:rich>
      </c:tx>
      <c:layout>
        <c:manualLayout>
          <c:xMode val="edge"/>
          <c:yMode val="edge"/>
          <c:x val="0.22886354973263198"/>
          <c:y val="1.4554420366875629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8.2594613432657046E-2"/>
          <c:y val="0.25040018095390632"/>
          <c:w val="0.9020976682893892"/>
          <c:h val="0.67509245360232373"/>
        </c:manualLayout>
      </c:layout>
      <c:scatterChart>
        <c:scatterStyle val="lineMarker"/>
        <c:varyColors val="0"/>
        <c:ser>
          <c:idx val="0"/>
          <c:order val="0"/>
          <c:tx>
            <c:strRef>
              <c:f>'TC,TOC,TIC AVG,STDEV'!#REF!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0"/>
            <c:dispEq val="0"/>
          </c:trendline>
          <c:trendline>
            <c:trendlineType val="linear"/>
            <c:dispRSqr val="1"/>
            <c:dispEq val="0"/>
            <c:trendlineLbl>
              <c:layout>
                <c:manualLayout>
                  <c:x val="6.1160350958365792E-2"/>
                  <c:y val="-7.1141665097362528E-2"/>
                </c:manualLayout>
              </c:layout>
              <c:numFmt formatCode="General" sourceLinked="0"/>
            </c:trendlineLbl>
          </c:trendline>
          <c:xVal>
            <c:numRef>
              <c:f>'TOC and TN stocks (8)'!$A$3:$A$42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40</c:v>
                </c:pt>
                <c:pt idx="13">
                  <c:v>39</c:v>
                </c:pt>
                <c:pt idx="14">
                  <c:v>38</c:v>
                </c:pt>
                <c:pt idx="15">
                  <c:v>37</c:v>
                </c:pt>
                <c:pt idx="16">
                  <c:v>36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</c:v>
                </c:pt>
                <c:pt idx="21">
                  <c:v>31</c:v>
                </c:pt>
                <c:pt idx="22">
                  <c:v>30</c:v>
                </c:pt>
                <c:pt idx="23">
                  <c:v>29</c:v>
                </c:pt>
                <c:pt idx="24">
                  <c:v>28</c:v>
                </c:pt>
                <c:pt idx="25">
                  <c:v>27</c:v>
                </c:pt>
                <c:pt idx="26">
                  <c:v>26</c:v>
                </c:pt>
                <c:pt idx="27">
                  <c:v>25</c:v>
                </c:pt>
                <c:pt idx="28">
                  <c:v>24</c:v>
                </c:pt>
                <c:pt idx="29">
                  <c:v>23</c:v>
                </c:pt>
                <c:pt idx="30">
                  <c:v>22</c:v>
                </c:pt>
                <c:pt idx="31">
                  <c:v>21</c:v>
                </c:pt>
                <c:pt idx="32">
                  <c:v>20</c:v>
                </c:pt>
                <c:pt idx="33">
                  <c:v>19</c:v>
                </c:pt>
                <c:pt idx="34">
                  <c:v>18</c:v>
                </c:pt>
                <c:pt idx="35">
                  <c:v>17</c:v>
                </c:pt>
                <c:pt idx="36">
                  <c:v>16</c:v>
                </c:pt>
                <c:pt idx="37">
                  <c:v>15</c:v>
                </c:pt>
                <c:pt idx="38">
                  <c:v>14</c:v>
                </c:pt>
                <c:pt idx="39">
                  <c:v>13</c:v>
                </c:pt>
              </c:numCache>
            </c:numRef>
          </c:xVal>
          <c:yVal>
            <c:numRef>
              <c:f>'TC,TOC,TIC AVG,STDEV'!#REF!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3837-41BA-9B44-2620061A5A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79008"/>
        <c:axId val="194789376"/>
      </c:scatterChart>
      <c:valAx>
        <c:axId val="194779008"/>
        <c:scaling>
          <c:orientation val="minMax"/>
          <c:max val="4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Samples</a:t>
                </a:r>
                <a:r>
                  <a:rPr lang="en-US" baseline="0"/>
                  <a:t> (North to South)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4789376"/>
        <c:crosses val="autoZero"/>
        <c:crossBetween val="midCat"/>
        <c:majorUnit val="1"/>
      </c:valAx>
      <c:valAx>
        <c:axId val="194789376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TOC(MAY:TOC(SEP)</a:t>
                </a:r>
                <a:r>
                  <a:rPr lang="en-US" baseline="0"/>
                  <a:t> ratio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779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Soil</a:t>
            </a:r>
            <a:r>
              <a:rPr lang="en-US" baseline="0"/>
              <a:t> Total Inorganic Carbon Ratios May:September</a:t>
            </a:r>
            <a:endParaRPr lang="en-US"/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'TC,TOC,TIC AVG,STDEV'!#REF!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>
              <a:noFill/>
            </a:ln>
          </c:spPr>
          <c:trendline>
            <c:trendlineType val="linear"/>
            <c:dispRSqr val="0"/>
            <c:dispEq val="0"/>
          </c:trendline>
          <c:trendline>
            <c:trendlineType val="linear"/>
            <c:dispRSqr val="1"/>
            <c:dispEq val="0"/>
            <c:trendlineLbl>
              <c:layout>
                <c:manualLayout>
                  <c:x val="2.2832094959110531E-3"/>
                  <c:y val="-7.4085917034595578E-2"/>
                </c:manualLayout>
              </c:layout>
              <c:numFmt formatCode="General" sourceLinked="0"/>
            </c:trendlineLbl>
          </c:trendline>
          <c:xVal>
            <c:numRef>
              <c:f>'TOC and TN stocks (8)'!$A$3:$A$42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40</c:v>
                </c:pt>
                <c:pt idx="13">
                  <c:v>39</c:v>
                </c:pt>
                <c:pt idx="14">
                  <c:v>38</c:v>
                </c:pt>
                <c:pt idx="15">
                  <c:v>37</c:v>
                </c:pt>
                <c:pt idx="16">
                  <c:v>36</c:v>
                </c:pt>
                <c:pt idx="17">
                  <c:v>35</c:v>
                </c:pt>
                <c:pt idx="18">
                  <c:v>34</c:v>
                </c:pt>
                <c:pt idx="19">
                  <c:v>33</c:v>
                </c:pt>
                <c:pt idx="20">
                  <c:v>32</c:v>
                </c:pt>
                <c:pt idx="21">
                  <c:v>31</c:v>
                </c:pt>
                <c:pt idx="22">
                  <c:v>30</c:v>
                </c:pt>
                <c:pt idx="23">
                  <c:v>29</c:v>
                </c:pt>
                <c:pt idx="24">
                  <c:v>28</c:v>
                </c:pt>
                <c:pt idx="25">
                  <c:v>27</c:v>
                </c:pt>
                <c:pt idx="26">
                  <c:v>26</c:v>
                </c:pt>
                <c:pt idx="27">
                  <c:v>25</c:v>
                </c:pt>
                <c:pt idx="28">
                  <c:v>24</c:v>
                </c:pt>
                <c:pt idx="29">
                  <c:v>23</c:v>
                </c:pt>
                <c:pt idx="30">
                  <c:v>22</c:v>
                </c:pt>
                <c:pt idx="31">
                  <c:v>21</c:v>
                </c:pt>
                <c:pt idx="32">
                  <c:v>20</c:v>
                </c:pt>
                <c:pt idx="33">
                  <c:v>19</c:v>
                </c:pt>
                <c:pt idx="34">
                  <c:v>18</c:v>
                </c:pt>
                <c:pt idx="35">
                  <c:v>17</c:v>
                </c:pt>
                <c:pt idx="36">
                  <c:v>16</c:v>
                </c:pt>
                <c:pt idx="37">
                  <c:v>15</c:v>
                </c:pt>
                <c:pt idx="38">
                  <c:v>14</c:v>
                </c:pt>
                <c:pt idx="39">
                  <c:v>13</c:v>
                </c:pt>
              </c:numCache>
            </c:numRef>
          </c:xVal>
          <c:yVal>
            <c:numRef>
              <c:f>'TC,TOC,TIC AVG,STDEV'!#REF!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4C5-4F89-A8BB-F46BE61395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820352"/>
        <c:axId val="194826624"/>
      </c:scatterChart>
      <c:valAx>
        <c:axId val="194820352"/>
        <c:scaling>
          <c:orientation val="minMax"/>
          <c:max val="41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Samples</a:t>
                </a:r>
                <a:r>
                  <a:rPr lang="en-US" baseline="0"/>
                  <a:t> (North to South)</a:t>
                </a:r>
                <a:endParaRPr lang="en-US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n-US"/>
          </a:p>
        </c:txPr>
        <c:crossAx val="194826624"/>
        <c:crosses val="autoZero"/>
        <c:crossBetween val="midCat"/>
        <c:majorUnit val="1"/>
      </c:valAx>
      <c:valAx>
        <c:axId val="194826624"/>
        <c:scaling>
          <c:orientation val="minMax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TIC(MAY):TIC(SEP)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94820352"/>
        <c:crosses val="autoZero"/>
        <c:crossBetween val="midCat"/>
        <c:majorUnit val="1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115</xdr:row>
      <xdr:rowOff>115989</xdr:rowOff>
    </xdr:from>
    <xdr:to>
      <xdr:col>3</xdr:col>
      <xdr:colOff>0</xdr:colOff>
      <xdr:row>140</xdr:row>
      <xdr:rowOff>163613</xdr:rowOff>
    </xdr:to>
    <xdr:graphicFrame macro="">
      <xdr:nvGraphicFramePr>
        <xdr:cNvPr id="2" name="Chart 6">
          <a:extLst>
            <a:ext uri="{FF2B5EF4-FFF2-40B4-BE49-F238E27FC236}">
              <a16:creationId xmlns="" xmlns:a16="http://schemas.microsoft.com/office/drawing/2014/main" id="{00000000-0008-0000-0600-00000F0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115</xdr:row>
      <xdr:rowOff>164462</xdr:rowOff>
    </xdr:from>
    <xdr:to>
      <xdr:col>2</xdr:col>
      <xdr:colOff>0</xdr:colOff>
      <xdr:row>143</xdr:row>
      <xdr:rowOff>70594</xdr:rowOff>
    </xdr:to>
    <xdr:graphicFrame macro="">
      <xdr:nvGraphicFramePr>
        <xdr:cNvPr id="3" name="Chart 31">
          <a:extLst>
            <a:ext uri="{FF2B5EF4-FFF2-40B4-BE49-F238E27FC236}">
              <a16:creationId xmlns="" xmlns:a16="http://schemas.microsoft.com/office/drawing/2014/main" id="{00000000-0008-0000-0600-0000130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</xdr:colOff>
      <xdr:row>183</xdr:row>
      <xdr:rowOff>116143</xdr:rowOff>
    </xdr:from>
    <xdr:to>
      <xdr:col>2</xdr:col>
      <xdr:colOff>0</xdr:colOff>
      <xdr:row>201</xdr:row>
      <xdr:rowOff>130430</xdr:rowOff>
    </xdr:to>
    <xdr:graphicFrame macro="">
      <xdr:nvGraphicFramePr>
        <xdr:cNvPr id="4" name="Chart 34">
          <a:extLst>
            <a:ext uri="{FF2B5EF4-FFF2-40B4-BE49-F238E27FC236}">
              <a16:creationId xmlns="" xmlns:a16="http://schemas.microsoft.com/office/drawing/2014/main" id="{00000000-0008-0000-0600-0000140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164</xdr:row>
      <xdr:rowOff>21972</xdr:rowOff>
    </xdr:from>
    <xdr:to>
      <xdr:col>2</xdr:col>
      <xdr:colOff>0</xdr:colOff>
      <xdr:row>183</xdr:row>
      <xdr:rowOff>36256</xdr:rowOff>
    </xdr:to>
    <xdr:graphicFrame macro="">
      <xdr:nvGraphicFramePr>
        <xdr:cNvPr id="5" name="Chart 37">
          <a:extLst>
            <a:ext uri="{FF2B5EF4-FFF2-40B4-BE49-F238E27FC236}">
              <a16:creationId xmlns="" xmlns:a16="http://schemas.microsoft.com/office/drawing/2014/main" id="{00000000-0008-0000-0600-0000150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19591</xdr:colOff>
      <xdr:row>144</xdr:row>
      <xdr:rowOff>19050</xdr:rowOff>
    </xdr:from>
    <xdr:to>
      <xdr:col>2</xdr:col>
      <xdr:colOff>0</xdr:colOff>
      <xdr:row>163</xdr:row>
      <xdr:rowOff>23814</xdr:rowOff>
    </xdr:to>
    <xdr:graphicFrame macro="">
      <xdr:nvGraphicFramePr>
        <xdr:cNvPr id="6" name="Chart 39">
          <a:extLst>
            <a:ext uri="{FF2B5EF4-FFF2-40B4-BE49-F238E27FC236}">
              <a16:creationId xmlns="" xmlns:a16="http://schemas.microsoft.com/office/drawing/2014/main" id="{00000000-0008-0000-0600-00001609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3"/>
  <sheetViews>
    <sheetView zoomScale="70" zoomScaleNormal="70" workbookViewId="0">
      <selection activeCell="N16" sqref="N16"/>
    </sheetView>
  </sheetViews>
  <sheetFormatPr defaultRowHeight="15" x14ac:dyDescent="0.25"/>
  <cols>
    <col min="1" max="1" width="24.140625" style="11" customWidth="1"/>
    <col min="2" max="2" width="15.28515625" style="11" customWidth="1"/>
    <col min="3" max="3" width="12.85546875" style="11" customWidth="1"/>
    <col min="4" max="4" width="17.28515625" style="11" customWidth="1"/>
    <col min="5" max="5" width="18.42578125" style="11" customWidth="1"/>
    <col min="6" max="6" width="14.42578125" style="11" customWidth="1"/>
    <col min="7" max="7" width="10.140625" style="11" customWidth="1"/>
    <col min="8" max="8" width="13.5703125" style="11" customWidth="1"/>
    <col min="9" max="9" width="13.85546875" style="11" customWidth="1"/>
    <col min="10" max="10" width="18.140625" style="11" customWidth="1"/>
    <col min="11" max="11" width="14.85546875" style="11" customWidth="1"/>
    <col min="12" max="12" width="10.140625" style="11" customWidth="1"/>
    <col min="13" max="13" width="9.7109375" style="11" customWidth="1"/>
    <col min="14" max="14" width="11.28515625" style="11" customWidth="1"/>
    <col min="15" max="15" width="8.140625" style="11" customWidth="1"/>
    <col min="16" max="16" width="7.140625" style="11" customWidth="1"/>
    <col min="17" max="17" width="7.42578125" style="11" customWidth="1"/>
    <col min="18" max="18" width="8.85546875" style="11" customWidth="1"/>
    <col min="19" max="19" width="7" style="11" customWidth="1"/>
    <col min="20" max="16384" width="9.140625" style="11"/>
  </cols>
  <sheetData>
    <row r="1" spans="1:19" ht="15.75" x14ac:dyDescent="0.25">
      <c r="A1" s="53"/>
      <c r="B1" s="55" t="s">
        <v>26</v>
      </c>
      <c r="C1" s="56"/>
      <c r="D1" s="56"/>
      <c r="E1" s="56"/>
      <c r="F1" s="56"/>
      <c r="G1" s="56"/>
      <c r="H1" s="56"/>
      <c r="I1" s="56"/>
      <c r="J1" s="57"/>
      <c r="K1" s="58" t="s">
        <v>27</v>
      </c>
      <c r="L1" s="58"/>
      <c r="M1" s="58"/>
      <c r="N1" s="58"/>
      <c r="O1" s="58"/>
      <c r="P1" s="58"/>
      <c r="Q1" s="58"/>
      <c r="R1" s="58"/>
      <c r="S1" s="58"/>
    </row>
    <row r="2" spans="1:19" ht="15" customHeight="1" x14ac:dyDescent="0.25">
      <c r="A2" s="54"/>
      <c r="B2" s="59" t="s">
        <v>46</v>
      </c>
      <c r="C2" s="59"/>
      <c r="D2" s="59"/>
      <c r="E2" s="59" t="s">
        <v>47</v>
      </c>
      <c r="F2" s="59"/>
      <c r="G2" s="59"/>
      <c r="H2" s="59" t="s">
        <v>48</v>
      </c>
      <c r="I2" s="59"/>
      <c r="J2" s="59"/>
      <c r="K2" s="59" t="s">
        <v>46</v>
      </c>
      <c r="L2" s="59"/>
      <c r="M2" s="59"/>
      <c r="N2" s="59" t="s">
        <v>47</v>
      </c>
      <c r="O2" s="59"/>
      <c r="P2" s="59"/>
      <c r="Q2" s="59" t="s">
        <v>48</v>
      </c>
      <c r="R2" s="59"/>
      <c r="S2" s="59"/>
    </row>
    <row r="3" spans="1:19" ht="15.75" x14ac:dyDescent="0.25">
      <c r="A3" s="26" t="s">
        <v>28</v>
      </c>
      <c r="B3" s="26" t="s">
        <v>29</v>
      </c>
      <c r="C3" s="26" t="s">
        <v>14</v>
      </c>
      <c r="D3" s="26" t="s">
        <v>30</v>
      </c>
      <c r="E3" s="26" t="s">
        <v>31</v>
      </c>
      <c r="F3" s="26" t="s">
        <v>14</v>
      </c>
      <c r="G3" s="26" t="s">
        <v>30</v>
      </c>
      <c r="H3" s="26" t="s">
        <v>32</v>
      </c>
      <c r="I3" s="26" t="s">
        <v>14</v>
      </c>
      <c r="J3" s="26" t="s">
        <v>30</v>
      </c>
      <c r="K3" s="26" t="s">
        <v>33</v>
      </c>
      <c r="L3" s="26" t="s">
        <v>14</v>
      </c>
      <c r="M3" s="26" t="s">
        <v>30</v>
      </c>
      <c r="N3" s="26" t="s">
        <v>34</v>
      </c>
      <c r="O3" s="26" t="s">
        <v>14</v>
      </c>
      <c r="P3" s="26" t="s">
        <v>30</v>
      </c>
      <c r="Q3" s="26" t="s">
        <v>32</v>
      </c>
      <c r="R3" s="26" t="s">
        <v>14</v>
      </c>
      <c r="S3" s="26" t="s">
        <v>30</v>
      </c>
    </row>
    <row r="4" spans="1:19" ht="15.75" x14ac:dyDescent="0.25">
      <c r="A4" s="27">
        <v>1</v>
      </c>
      <c r="B4" s="28">
        <v>11.225</v>
      </c>
      <c r="C4" s="28">
        <v>0.43133513652382055</v>
      </c>
      <c r="D4" s="28">
        <v>0.30500000000001876</v>
      </c>
      <c r="E4" s="28">
        <v>10.775</v>
      </c>
      <c r="F4" s="28">
        <v>0.98287842584929885</v>
      </c>
      <c r="G4" s="28">
        <v>0.6949999999999984</v>
      </c>
      <c r="H4" s="28">
        <v>0.44999999999999929</v>
      </c>
      <c r="I4" s="28">
        <v>1.073359212938529</v>
      </c>
      <c r="J4" s="28">
        <v>0.7589795781178893</v>
      </c>
      <c r="K4" s="28">
        <v>9.413333333333334</v>
      </c>
      <c r="L4" s="28">
        <v>1.1221556635927687</v>
      </c>
      <c r="M4" s="28">
        <v>0.64787687444794817</v>
      </c>
      <c r="N4" s="28">
        <v>9.0133333333333336</v>
      </c>
      <c r="O4" s="28">
        <v>0.8945576187889398</v>
      </c>
      <c r="P4" s="28">
        <v>0.51647308201342501</v>
      </c>
      <c r="Q4" s="28">
        <v>0.40000000000000036</v>
      </c>
      <c r="R4" s="28">
        <v>1.4350842019431005</v>
      </c>
      <c r="S4" s="28">
        <v>0.82854625030162832</v>
      </c>
    </row>
    <row r="5" spans="1:19" ht="15.75" x14ac:dyDescent="0.25">
      <c r="A5" s="27">
        <v>2</v>
      </c>
      <c r="B5" s="28">
        <v>27.240000000000002</v>
      </c>
      <c r="C5" s="28">
        <v>4.2426406871191945E-2</v>
      </c>
      <c r="D5" s="28">
        <v>1.2792042981336352E-2</v>
      </c>
      <c r="E5" s="28">
        <v>23.846666666666668</v>
      </c>
      <c r="F5" s="28">
        <v>3.4976611232841401</v>
      </c>
      <c r="G5" s="28">
        <v>2.0193755910621873</v>
      </c>
      <c r="H5" s="28">
        <v>3.3933333333333344</v>
      </c>
      <c r="I5" s="28">
        <v>3.4979184286276994</v>
      </c>
      <c r="J5" s="28">
        <v>2.0194161072303536</v>
      </c>
      <c r="K5" s="28">
        <v>19.365000000000002</v>
      </c>
      <c r="L5" s="28">
        <v>0.7848885271169056</v>
      </c>
      <c r="M5" s="28">
        <v>0.55499999999988525</v>
      </c>
      <c r="N5" s="28">
        <v>18.659999999999997</v>
      </c>
      <c r="O5" s="28">
        <v>0.46669047558325505</v>
      </c>
      <c r="P5" s="28">
        <v>0.3300000000000945</v>
      </c>
      <c r="Q5" s="28">
        <v>0.7050000000000054</v>
      </c>
      <c r="R5" s="28">
        <v>0.91315387531339443</v>
      </c>
      <c r="S5" s="28">
        <v>0.64569729750087623</v>
      </c>
    </row>
    <row r="6" spans="1:19" ht="15.75" x14ac:dyDescent="0.25">
      <c r="A6" s="27">
        <v>3</v>
      </c>
      <c r="B6" s="28">
        <v>48.396666666666668</v>
      </c>
      <c r="C6" s="28">
        <v>3.2912054529204235</v>
      </c>
      <c r="D6" s="28">
        <v>1.0407705478794607</v>
      </c>
      <c r="E6" s="28">
        <v>47.765000000000001</v>
      </c>
      <c r="F6" s="28">
        <v>1.6051323932933284</v>
      </c>
      <c r="G6" s="28">
        <v>1.1349999999999048</v>
      </c>
      <c r="H6" s="28">
        <v>0.63166666666666771</v>
      </c>
      <c r="I6" s="28">
        <v>3.661759595240067</v>
      </c>
      <c r="J6" s="28">
        <v>1.5399442630605487</v>
      </c>
      <c r="K6" s="28">
        <v>51.510000000000005</v>
      </c>
      <c r="L6" s="28">
        <v>1.3010764773831731</v>
      </c>
      <c r="M6" s="28">
        <v>0.91999999999994742</v>
      </c>
      <c r="N6" s="28">
        <v>40.915000000000006</v>
      </c>
      <c r="O6" s="28">
        <v>0.85559920523549882</v>
      </c>
      <c r="P6" s="28">
        <v>0.60499999999984178</v>
      </c>
      <c r="Q6" s="28">
        <v>10.594999999999999</v>
      </c>
      <c r="R6" s="28">
        <v>1.5571929873973309</v>
      </c>
      <c r="S6" s="28">
        <v>1.1011017210047906</v>
      </c>
    </row>
    <row r="7" spans="1:19" ht="15.75" x14ac:dyDescent="0.25">
      <c r="A7" s="27">
        <v>4</v>
      </c>
      <c r="B7" s="28">
        <v>36.599999999999994</v>
      </c>
      <c r="C7" s="28">
        <v>0.53740115370244568</v>
      </c>
      <c r="D7" s="28">
        <v>0.3800000000004734</v>
      </c>
      <c r="E7" s="28">
        <v>32.476666666666667</v>
      </c>
      <c r="F7" s="28">
        <v>0.67899435441911782</v>
      </c>
      <c r="G7" s="28">
        <v>0.39201757330211384</v>
      </c>
      <c r="H7" s="28">
        <v>4.1233333333333277</v>
      </c>
      <c r="I7" s="28">
        <v>0.86592917339338682</v>
      </c>
      <c r="J7" s="28">
        <v>0.54596499684323907</v>
      </c>
      <c r="K7" s="28">
        <v>27.105</v>
      </c>
      <c r="L7" s="28">
        <v>0.37476659402900464</v>
      </c>
      <c r="M7" s="28">
        <v>0.26500000000009505</v>
      </c>
      <c r="N7" s="28">
        <v>18.16</v>
      </c>
      <c r="O7" s="28">
        <v>1.4990663761154877</v>
      </c>
      <c r="P7" s="28">
        <v>1.0600000000000047</v>
      </c>
      <c r="Q7" s="28">
        <v>8.9450000000000003</v>
      </c>
      <c r="R7" s="28">
        <v>1.5452022521340441</v>
      </c>
      <c r="S7" s="28">
        <v>1.0926229907887077</v>
      </c>
    </row>
    <row r="8" spans="1:19" ht="15.75" x14ac:dyDescent="0.25">
      <c r="A8" s="27">
        <v>5</v>
      </c>
      <c r="B8" s="28">
        <v>34.269999999999996</v>
      </c>
      <c r="C8" s="28">
        <v>1.0465180361561881</v>
      </c>
      <c r="D8" s="28">
        <v>0.74000000000006905</v>
      </c>
      <c r="E8" s="28">
        <v>31.08666666666667</v>
      </c>
      <c r="F8" s="28">
        <v>1.6685722439658792</v>
      </c>
      <c r="G8" s="28">
        <v>0.96335063421603839</v>
      </c>
      <c r="H8" s="28">
        <v>3.1833333333333265</v>
      </c>
      <c r="I8" s="28">
        <v>1.9696023287287041</v>
      </c>
      <c r="J8" s="28">
        <v>1.2147610647549358</v>
      </c>
      <c r="K8" s="28">
        <v>33.379999999999995</v>
      </c>
      <c r="L8" s="28">
        <v>0.89095454429525978</v>
      </c>
      <c r="M8" s="28">
        <v>0.63000000000014833</v>
      </c>
      <c r="N8" s="28">
        <v>30.634999999999998</v>
      </c>
      <c r="O8" s="28">
        <v>0.68589357775113724</v>
      </c>
      <c r="P8" s="28">
        <v>0.4850000000001316</v>
      </c>
      <c r="Q8" s="28">
        <v>2.7449999999999974</v>
      </c>
      <c r="R8" s="28">
        <v>1.1243887228181495</v>
      </c>
      <c r="S8" s="28">
        <v>0.79506289059439483</v>
      </c>
    </row>
    <row r="9" spans="1:19" ht="15.75" x14ac:dyDescent="0.25">
      <c r="A9" s="27">
        <v>6</v>
      </c>
      <c r="B9" s="28">
        <v>44.115000000000002</v>
      </c>
      <c r="C9" s="28">
        <v>0.62932503525589378</v>
      </c>
      <c r="D9" s="28">
        <v>0.44499999999990558</v>
      </c>
      <c r="E9" s="28">
        <v>41.613333333333337</v>
      </c>
      <c r="F9" s="28">
        <v>2.0179775353885536</v>
      </c>
      <c r="G9" s="28">
        <v>1.165079873275199</v>
      </c>
      <c r="H9" s="28">
        <v>2.5016666666666652</v>
      </c>
      <c r="I9" s="28">
        <v>2.1138314344650788</v>
      </c>
      <c r="J9" s="28">
        <v>1.2471712436994646</v>
      </c>
      <c r="K9" s="28">
        <v>35.495000000000005</v>
      </c>
      <c r="L9" s="28">
        <v>7.0710678118640685E-3</v>
      </c>
      <c r="M9" s="28">
        <v>4.9999999999990052E-3</v>
      </c>
      <c r="N9" s="28">
        <v>28.145</v>
      </c>
      <c r="O9" s="28">
        <v>0.12020815280171429</v>
      </c>
      <c r="P9" s="28">
        <v>8.5000000000000853E-2</v>
      </c>
      <c r="Q9" s="28">
        <v>7.350000000000005</v>
      </c>
      <c r="R9" s="28">
        <v>0.12041594578792408</v>
      </c>
      <c r="S9" s="28">
        <v>8.5146931829632802E-2</v>
      </c>
    </row>
    <row r="10" spans="1:19" ht="15.75" x14ac:dyDescent="0.25">
      <c r="A10" s="27">
        <v>7</v>
      </c>
      <c r="B10" s="28">
        <v>27.729999999999997</v>
      </c>
      <c r="C10" s="28">
        <v>1.9798989873224089</v>
      </c>
      <c r="D10" s="28">
        <v>1.4000000000000534</v>
      </c>
      <c r="E10" s="28">
        <v>25.073333333333334</v>
      </c>
      <c r="F10" s="28">
        <v>0.73104947393002617</v>
      </c>
      <c r="G10" s="28">
        <v>0.42207161056443493</v>
      </c>
      <c r="H10" s="28">
        <v>2.6566666666666627</v>
      </c>
      <c r="I10" s="28">
        <v>2.1105528501635935</v>
      </c>
      <c r="J10" s="28">
        <v>1.4622395304616154</v>
      </c>
      <c r="K10" s="28">
        <v>22.826666666666664</v>
      </c>
      <c r="L10" s="28">
        <v>1.0931758016593336</v>
      </c>
      <c r="M10" s="28">
        <v>0.63114534335960126</v>
      </c>
      <c r="N10" s="28">
        <v>21.576666666666668</v>
      </c>
      <c r="O10" s="28">
        <v>1.46172272792527</v>
      </c>
      <c r="P10" s="28">
        <v>0.84392601044824878</v>
      </c>
      <c r="Q10" s="28">
        <v>1.2499999999999964</v>
      </c>
      <c r="R10" s="28">
        <v>1.8252853658173069</v>
      </c>
      <c r="S10" s="28">
        <v>1.0538289973025066</v>
      </c>
    </row>
    <row r="11" spans="1:19" ht="15.75" x14ac:dyDescent="0.25">
      <c r="A11" s="27">
        <v>8</v>
      </c>
      <c r="B11" s="28">
        <v>31.090000000000003</v>
      </c>
      <c r="C11" s="28">
        <v>1.7861410918512994</v>
      </c>
      <c r="D11" s="28">
        <v>0.56482740726701208</v>
      </c>
      <c r="E11" s="28">
        <v>28.155000000000001</v>
      </c>
      <c r="F11" s="28">
        <v>2.1001071401240656</v>
      </c>
      <c r="G11" s="28">
        <v>1.4850000000000136</v>
      </c>
      <c r="H11" s="28">
        <v>2.9350000000000023</v>
      </c>
      <c r="I11" s="28">
        <v>2.756945773859151</v>
      </c>
      <c r="J11" s="28">
        <v>1.5887904204142269</v>
      </c>
      <c r="K11" s="28">
        <v>27.935000000000002</v>
      </c>
      <c r="L11" s="28">
        <v>0.57275649276097107</v>
      </c>
      <c r="M11" s="28">
        <v>0.40499999999990632</v>
      </c>
      <c r="N11" s="28">
        <v>24.134999999999998</v>
      </c>
      <c r="O11" s="28">
        <v>0.31819805153384634</v>
      </c>
      <c r="P11" s="28">
        <v>0.22499999999992923</v>
      </c>
      <c r="Q11" s="28">
        <v>3.8000000000000043</v>
      </c>
      <c r="R11" s="28">
        <v>0.65520989003508234</v>
      </c>
      <c r="S11" s="28">
        <v>0.46330335634429876</v>
      </c>
    </row>
    <row r="12" spans="1:19" ht="15.75" x14ac:dyDescent="0.25">
      <c r="A12" s="27">
        <v>9</v>
      </c>
      <c r="B12" s="28">
        <v>39.094999999999999</v>
      </c>
      <c r="C12" s="28">
        <v>1.0960155108389744</v>
      </c>
      <c r="D12" s="28">
        <v>0.77499999999987679</v>
      </c>
      <c r="E12" s="28">
        <v>37.670000000000009</v>
      </c>
      <c r="F12" s="28">
        <v>0.52325901807755082</v>
      </c>
      <c r="G12" s="28">
        <v>0.30210373494297321</v>
      </c>
      <c r="H12" s="28">
        <v>1.4249999999999901</v>
      </c>
      <c r="I12" s="28">
        <v>1.214516364648538</v>
      </c>
      <c r="J12" s="28">
        <v>0.83180025647165023</v>
      </c>
      <c r="K12" s="28">
        <v>33.424999999999997</v>
      </c>
      <c r="L12" s="28">
        <v>0.94045201897811637</v>
      </c>
      <c r="M12" s="28">
        <v>0.6650000000000057</v>
      </c>
      <c r="N12" s="28">
        <v>30.715</v>
      </c>
      <c r="O12" s="28">
        <v>0.20506096654469577</v>
      </c>
      <c r="P12" s="28">
        <v>0.14500000000042212</v>
      </c>
      <c r="Q12" s="28">
        <v>2.7099999999999973</v>
      </c>
      <c r="R12" s="28">
        <v>0.96254870006678639</v>
      </c>
      <c r="S12" s="28">
        <v>0.68062471303952077</v>
      </c>
    </row>
    <row r="13" spans="1:19" ht="15.75" x14ac:dyDescent="0.25">
      <c r="A13" s="27">
        <v>10</v>
      </c>
      <c r="B13" s="28">
        <v>9.3166666666666664</v>
      </c>
      <c r="C13" s="28">
        <v>0.69673045959921465</v>
      </c>
      <c r="D13" s="28">
        <v>0.40225751840221829</v>
      </c>
      <c r="E13" s="28">
        <v>9.2833333333333332</v>
      </c>
      <c r="F13" s="28">
        <v>1.0874434851215535</v>
      </c>
      <c r="G13" s="28">
        <v>0.62783578886343372</v>
      </c>
      <c r="H13" s="28">
        <v>3.3333333333333215E-2</v>
      </c>
      <c r="I13" s="28">
        <v>1.2914978384289473</v>
      </c>
      <c r="J13" s="28">
        <v>0.7456466246747725</v>
      </c>
      <c r="K13" s="28">
        <v>19</v>
      </c>
      <c r="L13" s="28">
        <v>1.0040916292848916</v>
      </c>
      <c r="M13" s="28">
        <v>0.70999999999999575</v>
      </c>
      <c r="N13" s="28">
        <v>16.324999999999999</v>
      </c>
      <c r="O13" s="28">
        <v>0.20506096654414135</v>
      </c>
      <c r="P13" s="28">
        <v>0.1450000000000301</v>
      </c>
      <c r="Q13" s="28">
        <v>2.6750000000000007</v>
      </c>
      <c r="R13" s="28">
        <v>1.0248170568447843</v>
      </c>
      <c r="S13" s="28">
        <v>0.7246550903705864</v>
      </c>
    </row>
    <row r="14" spans="1:19" ht="15.75" x14ac:dyDescent="0.25">
      <c r="A14" s="27">
        <v>11</v>
      </c>
      <c r="B14" s="28">
        <v>28.65</v>
      </c>
      <c r="C14" s="28">
        <v>1.3576450198782639</v>
      </c>
      <c r="D14" s="28">
        <v>0.96000000000006547</v>
      </c>
      <c r="E14" s="28">
        <v>25.813333333333333</v>
      </c>
      <c r="F14" s="28">
        <v>1.1278445519367513</v>
      </c>
      <c r="G14" s="28">
        <v>0.65116135566473621</v>
      </c>
      <c r="H14" s="28">
        <v>2.836666666666666</v>
      </c>
      <c r="I14" s="28">
        <v>1.7650023607161727</v>
      </c>
      <c r="J14" s="28">
        <v>1.1600047892622094</v>
      </c>
      <c r="K14" s="28">
        <v>18.925000000000001</v>
      </c>
      <c r="L14" s="28">
        <v>0.50204581464238918</v>
      </c>
      <c r="M14" s="28">
        <v>0.35499999999995785</v>
      </c>
      <c r="N14" s="28">
        <v>13.95</v>
      </c>
      <c r="O14" s="28">
        <v>0.55154328932548913</v>
      </c>
      <c r="P14" s="28">
        <v>0.3899999999999873</v>
      </c>
      <c r="Q14" s="28">
        <v>4.9750000000000014</v>
      </c>
      <c r="R14" s="28">
        <v>0.74582169450876157</v>
      </c>
      <c r="S14" s="28">
        <v>0.52737557774318689</v>
      </c>
    </row>
    <row r="15" spans="1:19" ht="15.75" x14ac:dyDescent="0.25">
      <c r="A15" s="27">
        <v>12</v>
      </c>
      <c r="B15" s="28">
        <v>33.406666666666666</v>
      </c>
      <c r="C15" s="28">
        <v>2.5822729006310206</v>
      </c>
      <c r="D15" s="28">
        <v>0.81658639061236771</v>
      </c>
      <c r="E15" s="28">
        <v>30.745000000000001</v>
      </c>
      <c r="F15" s="28">
        <v>0.78488852711712287</v>
      </c>
      <c r="G15" s="28">
        <v>0.55500000000003891</v>
      </c>
      <c r="H15" s="28">
        <v>2.6616666666666653</v>
      </c>
      <c r="I15" s="28">
        <v>2.6989226245547373</v>
      </c>
      <c r="J15" s="28">
        <v>0.98733901641400634</v>
      </c>
      <c r="K15" s="28">
        <v>29.795000000000002</v>
      </c>
      <c r="L15" s="28">
        <v>0.23334523779126212</v>
      </c>
      <c r="M15" s="28">
        <v>0.16499999999978887</v>
      </c>
      <c r="N15" s="28">
        <v>20.97</v>
      </c>
      <c r="O15" s="28">
        <v>4.2426406871191945E-2</v>
      </c>
      <c r="P15" s="28">
        <v>2.9999999999999357E-2</v>
      </c>
      <c r="Q15" s="28">
        <v>8.8250000000000028</v>
      </c>
      <c r="R15" s="28">
        <v>0.23717082451233454</v>
      </c>
      <c r="S15" s="28">
        <v>0.16770509831227637</v>
      </c>
    </row>
    <row r="16" spans="1:19" ht="15.75" x14ac:dyDescent="0.25">
      <c r="A16" s="27">
        <v>40</v>
      </c>
      <c r="B16" s="28">
        <v>9.6350000000000016</v>
      </c>
      <c r="C16" s="28">
        <v>0.60104076400855211</v>
      </c>
      <c r="D16" s="28">
        <v>0.42499999999999055</v>
      </c>
      <c r="E16" s="28">
        <v>8.0250000000000004</v>
      </c>
      <c r="F16" s="28">
        <v>1.378858223313759</v>
      </c>
      <c r="G16" s="28">
        <v>0.97499999999999376</v>
      </c>
      <c r="H16" s="28">
        <v>1.6100000000000012</v>
      </c>
      <c r="I16" s="28">
        <v>1.504160895649119</v>
      </c>
      <c r="J16" s="28">
        <v>1.063602369309123</v>
      </c>
      <c r="K16" s="28">
        <v>21.1</v>
      </c>
      <c r="L16" s="28">
        <v>0.39597979746429229</v>
      </c>
      <c r="M16" s="28">
        <v>0.27999999999987674</v>
      </c>
      <c r="N16" s="28">
        <v>19.625</v>
      </c>
      <c r="O16" s="28">
        <v>4.9497474683058526E-2</v>
      </c>
      <c r="P16" s="28">
        <v>3.5000000000000135E-2</v>
      </c>
      <c r="Q16" s="28">
        <v>1.4750000000000014</v>
      </c>
      <c r="R16" s="28">
        <v>0.39906139878452535</v>
      </c>
      <c r="S16" s="28">
        <v>0.28217902119032695</v>
      </c>
    </row>
    <row r="17" spans="1:19" ht="15.75" x14ac:dyDescent="0.25">
      <c r="A17" s="27">
        <v>39</v>
      </c>
      <c r="B17" s="28">
        <v>28.939999999999998</v>
      </c>
      <c r="C17" s="28">
        <v>4.2685829030253446</v>
      </c>
      <c r="D17" s="28">
        <v>1.3498444354813735</v>
      </c>
      <c r="E17" s="28">
        <v>18.66</v>
      </c>
      <c r="F17" s="28">
        <v>2.7435743110038033</v>
      </c>
      <c r="G17" s="28">
        <v>1.9399999999999991</v>
      </c>
      <c r="H17" s="28">
        <v>10.279999999999998</v>
      </c>
      <c r="I17" s="28">
        <v>5.0742487128638336</v>
      </c>
      <c r="J17" s="28">
        <v>2.3634043242746308</v>
      </c>
      <c r="K17" s="28">
        <v>30.535</v>
      </c>
      <c r="L17" s="28">
        <v>1.1384419177104075</v>
      </c>
      <c r="M17" s="28">
        <v>0.80500000000004657</v>
      </c>
      <c r="N17" s="28">
        <v>21.935000000000002</v>
      </c>
      <c r="O17" s="28">
        <v>0.3181980515336677</v>
      </c>
      <c r="P17" s="28">
        <v>0.22499999999980291</v>
      </c>
      <c r="Q17" s="28">
        <v>8.5999999999999979</v>
      </c>
      <c r="R17" s="28">
        <v>1.1820744477400622</v>
      </c>
      <c r="S17" s="28">
        <v>0.83585285786434105</v>
      </c>
    </row>
    <row r="18" spans="1:19" ht="15.75" x14ac:dyDescent="0.25">
      <c r="A18" s="27">
        <v>38</v>
      </c>
      <c r="B18" s="28">
        <v>20.314999999999998</v>
      </c>
      <c r="C18" s="28">
        <v>0.61518289963242412</v>
      </c>
      <c r="D18" s="28">
        <v>0.18548462322941961</v>
      </c>
      <c r="E18" s="28">
        <v>19.349999999999998</v>
      </c>
      <c r="F18" s="28">
        <v>1.3839075113604642</v>
      </c>
      <c r="G18" s="28">
        <v>0.79899937421750911</v>
      </c>
      <c r="H18" s="28">
        <v>0.96499999999999986</v>
      </c>
      <c r="I18" s="28">
        <v>1.5144801088162467</v>
      </c>
      <c r="J18" s="28">
        <v>0.82024663696630351</v>
      </c>
      <c r="K18" s="28">
        <v>17.774999999999999</v>
      </c>
      <c r="L18" s="28">
        <v>0.71417784899847747</v>
      </c>
      <c r="M18" s="28">
        <v>0.50500000000004552</v>
      </c>
      <c r="N18" s="28">
        <v>16.215</v>
      </c>
      <c r="O18" s="28">
        <v>0.13435028842550564</v>
      </c>
      <c r="P18" s="28">
        <v>9.5000000000043563E-2</v>
      </c>
      <c r="Q18" s="28">
        <v>1.5599999999999987</v>
      </c>
      <c r="R18" s="28">
        <v>0.72670489196104127</v>
      </c>
      <c r="S18" s="28">
        <v>0.51385795702708958</v>
      </c>
    </row>
    <row r="19" spans="1:19" ht="15.75" x14ac:dyDescent="0.25">
      <c r="A19" s="27">
        <v>37</v>
      </c>
      <c r="B19" s="28">
        <v>26.725000000000001</v>
      </c>
      <c r="C19" s="28">
        <v>4.2779960261786103</v>
      </c>
      <c r="D19" s="28">
        <v>1.352821126387372</v>
      </c>
      <c r="E19" s="28">
        <v>25.85</v>
      </c>
      <c r="F19" s="28">
        <v>3.422396820942859</v>
      </c>
      <c r="G19" s="28">
        <v>2.4199999999999777</v>
      </c>
      <c r="H19" s="28">
        <v>0.875</v>
      </c>
      <c r="I19" s="28">
        <v>5.4785080085731162</v>
      </c>
      <c r="J19" s="28">
        <v>2.7724582954482635</v>
      </c>
      <c r="K19" s="28">
        <v>26.424999999999997</v>
      </c>
      <c r="L19" s="28">
        <v>0.79903066274089141</v>
      </c>
      <c r="M19" s="28">
        <v>0.56500000000006556</v>
      </c>
      <c r="N19" s="28">
        <v>23.574999999999999</v>
      </c>
      <c r="O19" s="28">
        <v>1.8879751057681029</v>
      </c>
      <c r="P19" s="28">
        <v>1.3350000000000148</v>
      </c>
      <c r="Q19" s="28">
        <v>2.8499999999999979</v>
      </c>
      <c r="R19" s="28">
        <v>2.0500975586542771</v>
      </c>
      <c r="S19" s="28">
        <v>1.4496378858184253</v>
      </c>
    </row>
    <row r="20" spans="1:19" ht="15.75" x14ac:dyDescent="0.25">
      <c r="A20" s="27">
        <v>36</v>
      </c>
      <c r="B20" s="28">
        <v>20.815000000000001</v>
      </c>
      <c r="C20" s="28">
        <v>0.27577164466277038</v>
      </c>
      <c r="D20" s="28">
        <v>8.3148279378693152E-2</v>
      </c>
      <c r="E20" s="28">
        <v>19.636666666666667</v>
      </c>
      <c r="F20" s="28">
        <v>2.5128536235390513</v>
      </c>
      <c r="G20" s="28">
        <v>1.450796715984398</v>
      </c>
      <c r="H20" s="28">
        <v>1.1783333333333346</v>
      </c>
      <c r="I20" s="28">
        <v>2.5279405320009705</v>
      </c>
      <c r="J20" s="28">
        <v>1.4531774659258763</v>
      </c>
      <c r="K20" s="28">
        <v>21.48</v>
      </c>
      <c r="L20" s="28">
        <v>0.55154328932554075</v>
      </c>
      <c r="M20" s="28">
        <v>0.39000000000002377</v>
      </c>
      <c r="N20" s="28">
        <v>20.03</v>
      </c>
      <c r="O20" s="28">
        <v>1.0323759005323436</v>
      </c>
      <c r="P20" s="28">
        <v>0.72999999999998877</v>
      </c>
      <c r="Q20" s="28">
        <v>1.4499999999999993</v>
      </c>
      <c r="R20" s="28">
        <v>1.1704699910719645</v>
      </c>
      <c r="S20" s="28">
        <v>0.82764726786234377</v>
      </c>
    </row>
    <row r="21" spans="1:19" ht="15.75" x14ac:dyDescent="0.25">
      <c r="A21" s="27">
        <v>35</v>
      </c>
      <c r="B21" s="28">
        <v>12.265000000000001</v>
      </c>
      <c r="C21" s="28">
        <v>0.64346717087973859</v>
      </c>
      <c r="D21" s="28">
        <v>0.20348218595247464</v>
      </c>
      <c r="E21" s="28">
        <v>12.085000000000001</v>
      </c>
      <c r="F21" s="28">
        <v>1.0111626970967309</v>
      </c>
      <c r="G21" s="28">
        <v>0.71499999999997732</v>
      </c>
      <c r="H21" s="28">
        <v>0.17999999999999972</v>
      </c>
      <c r="I21" s="28">
        <v>1.1985407794480378</v>
      </c>
      <c r="J21" s="28">
        <v>0.74339087968575801</v>
      </c>
      <c r="K21" s="28">
        <v>14.31</v>
      </c>
      <c r="L21" s="28">
        <v>1.36</v>
      </c>
      <c r="M21" s="28">
        <v>0.79</v>
      </c>
      <c r="N21" s="28">
        <v>13.44</v>
      </c>
      <c r="O21" s="29">
        <v>0.58025856305611789</v>
      </c>
      <c r="P21" s="28">
        <v>0.33501243758003513</v>
      </c>
      <c r="Q21" s="28">
        <v>0.43</v>
      </c>
      <c r="R21" s="28">
        <v>0.48383881613607166</v>
      </c>
      <c r="S21" s="28">
        <v>0.34212570789108743</v>
      </c>
    </row>
    <row r="22" spans="1:19" ht="15.75" x14ac:dyDescent="0.25">
      <c r="A22" s="27">
        <v>34</v>
      </c>
      <c r="B22" s="28">
        <v>13.435</v>
      </c>
      <c r="C22" s="28">
        <v>0.40305086527630535</v>
      </c>
      <c r="D22" s="28">
        <v>0.12745587471747954</v>
      </c>
      <c r="E22" s="28">
        <v>12.59</v>
      </c>
      <c r="F22" s="28">
        <v>0.98994949366117568</v>
      </c>
      <c r="G22" s="28">
        <v>0.70000000000000639</v>
      </c>
      <c r="H22" s="28">
        <v>0.84500000000000064</v>
      </c>
      <c r="I22" s="28">
        <v>1.0688545270522067</v>
      </c>
      <c r="J22" s="28">
        <v>0.71150895988736973</v>
      </c>
      <c r="K22" s="28">
        <v>9.32</v>
      </c>
      <c r="L22" s="28">
        <v>1.18</v>
      </c>
      <c r="M22" s="28">
        <v>0.68</v>
      </c>
      <c r="N22" s="28">
        <v>9.23</v>
      </c>
      <c r="O22" s="28">
        <v>0.34073450074799994</v>
      </c>
      <c r="P22" s="28">
        <v>0.13910427743242884</v>
      </c>
      <c r="Q22" s="28">
        <v>0.06</v>
      </c>
      <c r="R22" s="28">
        <v>0.45700109409063155</v>
      </c>
      <c r="S22" s="28">
        <v>0.32314857264115698</v>
      </c>
    </row>
    <row r="23" spans="1:19" ht="15.75" x14ac:dyDescent="0.25">
      <c r="A23" s="27">
        <v>33</v>
      </c>
      <c r="B23" s="28">
        <v>12.75</v>
      </c>
      <c r="C23" s="28">
        <v>0.26870057685079973</v>
      </c>
      <c r="D23" s="28">
        <v>8.4970583144964071E-2</v>
      </c>
      <c r="E23" s="28">
        <v>11.76</v>
      </c>
      <c r="F23" s="28">
        <v>0.80610173055268119</v>
      </c>
      <c r="G23" s="28">
        <v>0.57000000000001194</v>
      </c>
      <c r="H23" s="28">
        <v>0.99000000000000021</v>
      </c>
      <c r="I23" s="28">
        <v>0.8497058314499083</v>
      </c>
      <c r="J23" s="28">
        <v>0.5762985337479255</v>
      </c>
      <c r="K23" s="28">
        <v>13.41</v>
      </c>
      <c r="L23" s="28">
        <v>0.8</v>
      </c>
      <c r="M23" s="28">
        <v>0.46</v>
      </c>
      <c r="N23" s="28">
        <v>12.96</v>
      </c>
      <c r="O23" s="28">
        <v>0.58025856305611789</v>
      </c>
      <c r="P23" s="28">
        <v>0.33501243758003513</v>
      </c>
      <c r="Q23" s="28">
        <v>0.47</v>
      </c>
      <c r="R23" s="28">
        <v>0.54120236510931641</v>
      </c>
      <c r="S23" s="28">
        <v>0.38268786236299535</v>
      </c>
    </row>
    <row r="24" spans="1:19" ht="15.75" x14ac:dyDescent="0.25">
      <c r="A24" s="27">
        <v>32</v>
      </c>
      <c r="B24" s="28">
        <v>8.6950000000000003</v>
      </c>
      <c r="C24" s="28">
        <v>0.33234018715769897</v>
      </c>
      <c r="D24" s="28">
        <v>0.10509519494249696</v>
      </c>
      <c r="E24" s="28">
        <v>8.43</v>
      </c>
      <c r="F24" s="28">
        <v>1.5839191898578691</v>
      </c>
      <c r="G24" s="28">
        <v>1.1200000000000017</v>
      </c>
      <c r="H24" s="28">
        <v>0.26500000000000057</v>
      </c>
      <c r="I24" s="28">
        <v>1.6184097132679423</v>
      </c>
      <c r="J24" s="28">
        <v>1.1249199971553556</v>
      </c>
      <c r="K24" s="28">
        <v>9.9133333333333322</v>
      </c>
      <c r="L24" s="28">
        <v>0.91544160563815136</v>
      </c>
      <c r="M24" s="28">
        <v>0.52853045744256999</v>
      </c>
      <c r="N24" s="28">
        <v>9.8433333333333337</v>
      </c>
      <c r="O24" s="28">
        <v>0.57275649276107032</v>
      </c>
      <c r="P24" s="28">
        <v>0.40499999999997649</v>
      </c>
      <c r="Q24" s="28">
        <v>6.9999999999998508E-2</v>
      </c>
      <c r="R24" s="28">
        <v>1.0798533851099041</v>
      </c>
      <c r="S24" s="28">
        <v>0.66585992854686282</v>
      </c>
    </row>
    <row r="25" spans="1:19" ht="15.75" x14ac:dyDescent="0.25">
      <c r="A25" s="27">
        <v>31</v>
      </c>
      <c r="B25" s="28">
        <v>7.0949999999999998</v>
      </c>
      <c r="C25" s="28">
        <v>2.0011121907579272</v>
      </c>
      <c r="D25" s="28">
        <v>0.63280723763243973</v>
      </c>
      <c r="E25" s="28">
        <v>5.93</v>
      </c>
      <c r="F25" s="28">
        <v>1.0182337649086353</v>
      </c>
      <c r="G25" s="28">
        <v>0.72000000000000475</v>
      </c>
      <c r="H25" s="28">
        <v>1.165</v>
      </c>
      <c r="I25" s="28">
        <v>2.2452728119317715</v>
      </c>
      <c r="J25" s="28">
        <v>0.95856403020351533</v>
      </c>
      <c r="K25" s="28">
        <v>7.31</v>
      </c>
      <c r="L25" s="28">
        <v>0.87743945660084877</v>
      </c>
      <c r="M25" s="28">
        <v>0.50658990646609903</v>
      </c>
      <c r="N25" s="28">
        <v>6.8599999999999994</v>
      </c>
      <c r="O25" s="28">
        <v>0.70003571337467962</v>
      </c>
      <c r="P25" s="28">
        <v>0.49499999999999827</v>
      </c>
      <c r="Q25" s="28">
        <v>0.45000000000000018</v>
      </c>
      <c r="R25" s="28">
        <v>1.122474944041064</v>
      </c>
      <c r="S25" s="28">
        <v>0.70827842924469275</v>
      </c>
    </row>
    <row r="26" spans="1:19" ht="15.75" x14ac:dyDescent="0.25">
      <c r="A26" s="27">
        <v>30</v>
      </c>
      <c r="B26" s="28">
        <v>10.029999999999999</v>
      </c>
      <c r="C26" s="28">
        <v>3.068843430349621</v>
      </c>
      <c r="D26" s="28">
        <v>0.97045350223491023</v>
      </c>
      <c r="E26" s="28">
        <v>7.2349999999999994</v>
      </c>
      <c r="F26" s="28">
        <v>0.96873629022557173</v>
      </c>
      <c r="G26" s="28">
        <v>0.68500000000000105</v>
      </c>
      <c r="H26" s="28">
        <v>2.7949999999999999</v>
      </c>
      <c r="I26" s="28">
        <v>3.2181128010062099</v>
      </c>
      <c r="J26" s="28">
        <v>1.1878573146636782</v>
      </c>
      <c r="K26" s="28">
        <v>8.27</v>
      </c>
      <c r="L26" s="28">
        <v>1.0367738422626285</v>
      </c>
      <c r="M26" s="28">
        <v>0.59858165691909115</v>
      </c>
      <c r="N26" s="28">
        <v>5.8900000000000006</v>
      </c>
      <c r="O26" s="28">
        <v>1.2515790027001847</v>
      </c>
      <c r="P26" s="28">
        <v>0.88499999999999679</v>
      </c>
      <c r="Q26" s="28">
        <v>2.379999999999999</v>
      </c>
      <c r="R26" s="28">
        <v>1.6252230616133905</v>
      </c>
      <c r="S26" s="28">
        <v>1.068421733212124</v>
      </c>
    </row>
    <row r="27" spans="1:19" ht="15.75" x14ac:dyDescent="0.25">
      <c r="A27" s="27">
        <v>29</v>
      </c>
      <c r="B27" s="28">
        <v>12.914999999999999</v>
      </c>
      <c r="C27" s="28">
        <v>0.5303300858899106</v>
      </c>
      <c r="D27" s="28">
        <v>0.1677050983124842</v>
      </c>
      <c r="E27" s="28">
        <v>7.6099999999999994</v>
      </c>
      <c r="F27" s="28">
        <v>0.90509667991879383</v>
      </c>
      <c r="G27" s="28">
        <v>0.64000000000000912</v>
      </c>
      <c r="H27" s="28">
        <v>5.3049999999999997</v>
      </c>
      <c r="I27" s="28">
        <v>1.0490233553167554</v>
      </c>
      <c r="J27" s="28">
        <v>0.66160788991668751</v>
      </c>
      <c r="K27" s="28">
        <v>7.7066666666666661</v>
      </c>
      <c r="L27" s="28">
        <v>0.80748580998885033</v>
      </c>
      <c r="M27" s="28">
        <v>0.46620214976386576</v>
      </c>
      <c r="N27" s="28">
        <v>6.2466666666666661</v>
      </c>
      <c r="O27" s="28">
        <v>0.73704364411705459</v>
      </c>
      <c r="P27" s="28">
        <v>0.4255323463354842</v>
      </c>
      <c r="Q27" s="28">
        <v>1.46</v>
      </c>
      <c r="R27" s="28">
        <v>1.0932825191443871</v>
      </c>
      <c r="S27" s="28">
        <v>0.63120695672832405</v>
      </c>
    </row>
    <row r="28" spans="1:19" ht="15.75" x14ac:dyDescent="0.25">
      <c r="A28" s="27">
        <v>28</v>
      </c>
      <c r="B28" s="28">
        <v>13.69</v>
      </c>
      <c r="C28" s="28">
        <v>0.3252691193457059</v>
      </c>
      <c r="D28" s="28">
        <v>0.10285912696495682</v>
      </c>
      <c r="E28" s="28">
        <v>5.01</v>
      </c>
      <c r="F28" s="28">
        <v>1.5273506473629446</v>
      </c>
      <c r="G28" s="28">
        <v>1.0800000000000012</v>
      </c>
      <c r="H28" s="28">
        <v>8.6800000000000015</v>
      </c>
      <c r="I28" s="28">
        <v>1.5616017418022872</v>
      </c>
      <c r="J28" s="28">
        <v>1.0848870908993229</v>
      </c>
      <c r="K28" s="28">
        <v>12.786666666666667</v>
      </c>
      <c r="L28" s="28">
        <v>0.82809017222362924</v>
      </c>
      <c r="M28" s="28">
        <v>0.47809808384659591</v>
      </c>
      <c r="N28" s="28">
        <v>6.1333333333333329</v>
      </c>
      <c r="O28" s="28">
        <v>0.70550218520805685</v>
      </c>
      <c r="P28" s="28">
        <v>0.40732187654374086</v>
      </c>
      <c r="Q28" s="28">
        <v>6.6533333333333342</v>
      </c>
      <c r="R28" s="28">
        <v>1.0878725415537904</v>
      </c>
      <c r="S28" s="28">
        <v>0.62808350471008323</v>
      </c>
    </row>
    <row r="29" spans="1:19" s="12" customFormat="1" ht="15.75" x14ac:dyDescent="0.25">
      <c r="A29" s="27">
        <v>27</v>
      </c>
      <c r="B29" s="28">
        <v>15.613333333333332</v>
      </c>
      <c r="C29" s="28">
        <v>3.3275416351014169</v>
      </c>
      <c r="D29" s="28">
        <v>1.0522610575961371</v>
      </c>
      <c r="E29" s="28">
        <v>5.7850000000000001</v>
      </c>
      <c r="F29" s="28">
        <v>0.58689862838484208</v>
      </c>
      <c r="G29" s="28">
        <v>0.41500000000000536</v>
      </c>
      <c r="H29" s="28">
        <v>9.8283333333333314</v>
      </c>
      <c r="I29" s="28">
        <v>3.378902681838206</v>
      </c>
      <c r="J29" s="28">
        <v>1.1311402801303407</v>
      </c>
      <c r="K29" s="28">
        <v>14.32</v>
      </c>
      <c r="L29" s="28">
        <v>0.76367532368145608</v>
      </c>
      <c r="M29" s="28">
        <v>0.53999999999998916</v>
      </c>
      <c r="N29" s="28">
        <v>5.1999999999999993</v>
      </c>
      <c r="O29" s="28">
        <v>0.49497474683059506</v>
      </c>
      <c r="P29" s="28">
        <v>0.3500000000000083</v>
      </c>
      <c r="Q29" s="28">
        <v>9.120000000000001</v>
      </c>
      <c r="R29" s="28">
        <v>0.91005494339627013</v>
      </c>
      <c r="S29" s="28">
        <v>0.64350602172784221</v>
      </c>
    </row>
    <row r="30" spans="1:19" ht="15.75" x14ac:dyDescent="0.25">
      <c r="A30" s="27">
        <v>26</v>
      </c>
      <c r="B30" s="28">
        <v>19.153333333333332</v>
      </c>
      <c r="C30" s="28">
        <v>3.5914528165261164</v>
      </c>
      <c r="D30" s="28">
        <v>1.1357171009249343</v>
      </c>
      <c r="E30" s="28">
        <v>7.335</v>
      </c>
      <c r="F30" s="28">
        <v>0.71417784899840775</v>
      </c>
      <c r="G30" s="28">
        <v>0.50499999999999623</v>
      </c>
      <c r="H30" s="28">
        <v>11.818333333333332</v>
      </c>
      <c r="I30" s="28">
        <v>3.6617732498522306</v>
      </c>
      <c r="J30" s="28">
        <v>1.2429313469911898</v>
      </c>
      <c r="K30" s="28">
        <v>13.06</v>
      </c>
      <c r="L30" s="28">
        <v>0.72124891681030989</v>
      </c>
      <c r="M30" s="28">
        <v>0.51000000000002221</v>
      </c>
      <c r="N30" s="28">
        <v>6.66</v>
      </c>
      <c r="O30" s="28">
        <v>0.86267027304758348</v>
      </c>
      <c r="P30" s="28">
        <v>0.60999999999999677</v>
      </c>
      <c r="Q30" s="28">
        <v>6.4</v>
      </c>
      <c r="R30" s="28">
        <v>1.1244554237496645</v>
      </c>
      <c r="S30" s="28">
        <v>0.79511005527538059</v>
      </c>
    </row>
    <row r="31" spans="1:19" ht="15.75" x14ac:dyDescent="0.25">
      <c r="A31" s="27">
        <v>25</v>
      </c>
      <c r="B31" s="28">
        <v>24.186666666666667</v>
      </c>
      <c r="C31" s="28">
        <v>2.7500060605993464</v>
      </c>
      <c r="D31" s="28">
        <v>0.86962827307609625</v>
      </c>
      <c r="E31" s="28">
        <v>7.8550000000000004</v>
      </c>
      <c r="F31" s="28">
        <v>1.1242997820866032</v>
      </c>
      <c r="G31" s="28">
        <v>0.79499999999999471</v>
      </c>
      <c r="H31" s="28">
        <v>16.331666666666667</v>
      </c>
      <c r="I31" s="28">
        <v>2.9709566360573358</v>
      </c>
      <c r="J31" s="28">
        <v>1.1782522367189909</v>
      </c>
      <c r="K31" s="28">
        <v>17.994999999999997</v>
      </c>
      <c r="L31" s="28">
        <v>0.23334523779174932</v>
      </c>
      <c r="M31" s="28">
        <v>0.16500000000013337</v>
      </c>
      <c r="N31" s="28">
        <v>4.2749999999999995</v>
      </c>
      <c r="O31" s="28">
        <v>0.70003571337468462</v>
      </c>
      <c r="P31" s="28">
        <v>0.49500000000000177</v>
      </c>
      <c r="Q31" s="28">
        <v>13.719999999999999</v>
      </c>
      <c r="R31" s="28">
        <v>0.73790243257499266</v>
      </c>
      <c r="S31" s="28">
        <v>0.52177581392782646</v>
      </c>
    </row>
    <row r="32" spans="1:19" ht="15.75" x14ac:dyDescent="0.25">
      <c r="A32" s="27">
        <v>24</v>
      </c>
      <c r="B32" s="28">
        <v>17.475000000000001</v>
      </c>
      <c r="C32" s="28">
        <v>0.53033008588980346</v>
      </c>
      <c r="D32" s="28">
        <v>0.37499999999992417</v>
      </c>
      <c r="E32" s="28">
        <v>5.0350000000000001</v>
      </c>
      <c r="F32" s="28">
        <v>1.2091525958289895</v>
      </c>
      <c r="G32" s="28">
        <v>0.8549999999999951</v>
      </c>
      <c r="H32" s="28">
        <v>12.440000000000001</v>
      </c>
      <c r="I32" s="28">
        <v>1.320340865079874</v>
      </c>
      <c r="J32" s="28">
        <v>0.93362197917569123</v>
      </c>
      <c r="K32" s="28">
        <v>15.719999999999999</v>
      </c>
      <c r="L32" s="28">
        <v>9.8994949366115789E-2</v>
      </c>
      <c r="M32" s="28">
        <v>6.9999999999999382E-2</v>
      </c>
      <c r="N32" s="28">
        <v>4.45</v>
      </c>
      <c r="O32" s="28">
        <v>0.53740115370177133</v>
      </c>
      <c r="P32" s="28">
        <v>0.37999999999999656</v>
      </c>
      <c r="Q32" s="28">
        <v>11.27</v>
      </c>
      <c r="R32" s="28">
        <v>0.54644304369256513</v>
      </c>
      <c r="S32" s="28">
        <v>0.38639358172722965</v>
      </c>
    </row>
    <row r="33" spans="1:19" ht="15.75" x14ac:dyDescent="0.25">
      <c r="A33" s="27">
        <v>23</v>
      </c>
      <c r="B33" s="28">
        <v>18.883333333333333</v>
      </c>
      <c r="C33" s="28">
        <v>3.2620290209213922</v>
      </c>
      <c r="D33" s="28">
        <v>1.0315441499680649</v>
      </c>
      <c r="E33" s="28">
        <v>6.1199999999999992</v>
      </c>
      <c r="F33" s="28">
        <v>1.5556349186104097</v>
      </c>
      <c r="G33" s="28">
        <v>1.1000000000000036</v>
      </c>
      <c r="H33" s="28">
        <v>12.763333333333334</v>
      </c>
      <c r="I33" s="28">
        <v>3.6139774948570715</v>
      </c>
      <c r="J33" s="28">
        <v>1.5080064102427899</v>
      </c>
      <c r="K33" s="28">
        <v>14.72</v>
      </c>
      <c r="L33" s="28">
        <v>0.1131370849898477</v>
      </c>
      <c r="M33" s="28">
        <v>8.0000000000000071E-2</v>
      </c>
      <c r="N33" s="28">
        <v>3.7949999999999999</v>
      </c>
      <c r="O33" s="28">
        <v>9.1923881554250339E-2</v>
      </c>
      <c r="P33" s="28">
        <v>6.4999999999999405E-2</v>
      </c>
      <c r="Q33" s="28">
        <v>10.925000000000001</v>
      </c>
      <c r="R33" s="28">
        <v>0.14577379737113205</v>
      </c>
      <c r="S33" s="28">
        <v>0.10307764064044118</v>
      </c>
    </row>
    <row r="34" spans="1:19" ht="15.75" x14ac:dyDescent="0.25">
      <c r="A34" s="27">
        <v>22</v>
      </c>
      <c r="B34" s="28">
        <v>20.533333333333335</v>
      </c>
      <c r="C34" s="28">
        <v>3.0924639582917171</v>
      </c>
      <c r="D34" s="28">
        <v>0.97792296901817755</v>
      </c>
      <c r="E34" s="28">
        <v>9.370000000000001</v>
      </c>
      <c r="F34" s="28">
        <v>1.8667619023324722</v>
      </c>
      <c r="G34" s="28">
        <v>1.3199999999999905</v>
      </c>
      <c r="H34" s="28">
        <v>11.163333333333334</v>
      </c>
      <c r="I34" s="28">
        <v>3.6122200006828522</v>
      </c>
      <c r="J34" s="28">
        <v>1.6427821929072954</v>
      </c>
      <c r="K34" s="28">
        <v>19.354999999999997</v>
      </c>
      <c r="L34" s="28">
        <v>0.99702056147309692</v>
      </c>
      <c r="M34" s="28">
        <v>0.70500000000004581</v>
      </c>
      <c r="N34" s="28">
        <v>8.7050000000000001</v>
      </c>
      <c r="O34" s="28">
        <v>3.5355339059327882E-2</v>
      </c>
      <c r="P34" s="28">
        <v>2.5000000000000355E-2</v>
      </c>
      <c r="Q34" s="28">
        <v>10.649999999999997</v>
      </c>
      <c r="R34" s="28">
        <v>0.99764723224200325</v>
      </c>
      <c r="S34" s="28">
        <v>0.70544312315031088</v>
      </c>
    </row>
    <row r="35" spans="1:19" ht="15.75" x14ac:dyDescent="0.25">
      <c r="A35" s="27">
        <v>21</v>
      </c>
      <c r="B35" s="28">
        <v>10.934999999999999</v>
      </c>
      <c r="C35" s="28">
        <v>0.61518289963233164</v>
      </c>
      <c r="D35" s="28">
        <v>0.43500000000002492</v>
      </c>
      <c r="E35" s="28">
        <v>5.6549999999999994</v>
      </c>
      <c r="F35" s="28">
        <v>0.98287842584930607</v>
      </c>
      <c r="G35" s="28">
        <v>0.6950000000000035</v>
      </c>
      <c r="H35" s="28">
        <v>5.2799999999999994</v>
      </c>
      <c r="I35" s="28">
        <v>1.1595257651298885</v>
      </c>
      <c r="J35" s="28">
        <v>0.81990853148386411</v>
      </c>
      <c r="K35" s="28">
        <v>20.125</v>
      </c>
      <c r="L35" s="28">
        <v>0.99702056147303986</v>
      </c>
      <c r="M35" s="28">
        <v>0.70500000000000551</v>
      </c>
      <c r="N35" s="28">
        <v>7.665</v>
      </c>
      <c r="O35" s="28">
        <v>0.30405591591021458</v>
      </c>
      <c r="P35" s="28">
        <v>0.21499999999999939</v>
      </c>
      <c r="Q35" s="28">
        <v>12.46</v>
      </c>
      <c r="R35" s="28">
        <v>1.0423531071570782</v>
      </c>
      <c r="S35" s="28">
        <v>0.73705495046163794</v>
      </c>
    </row>
    <row r="36" spans="1:19" ht="15.75" x14ac:dyDescent="0.25">
      <c r="A36" s="27">
        <v>20</v>
      </c>
      <c r="B36" s="28">
        <v>19.726666666666667</v>
      </c>
      <c r="C36" s="28">
        <v>3.4328025479676869</v>
      </c>
      <c r="D36" s="28">
        <v>1.0855474809207306</v>
      </c>
      <c r="E36" s="28">
        <v>11.125</v>
      </c>
      <c r="F36" s="28">
        <v>1.5344217151748127</v>
      </c>
      <c r="G36" s="28">
        <v>1.0850000000000033</v>
      </c>
      <c r="H36" s="28">
        <v>8.6016666666666666</v>
      </c>
      <c r="I36" s="28">
        <v>3.7601307601376655</v>
      </c>
      <c r="J36" s="28">
        <v>1.5348088914693423</v>
      </c>
      <c r="K36" s="28">
        <v>20.094999999999999</v>
      </c>
      <c r="L36" s="28">
        <v>0.20506096654414135</v>
      </c>
      <c r="M36" s="28">
        <v>0.1450000000000301</v>
      </c>
      <c r="N36" s="28">
        <v>10.039999999999999</v>
      </c>
      <c r="O36" s="28">
        <v>0.35355339059327379</v>
      </c>
      <c r="P36" s="28">
        <v>0.25</v>
      </c>
      <c r="Q36" s="28">
        <v>10.055</v>
      </c>
      <c r="R36" s="28">
        <v>0.40871750635373755</v>
      </c>
      <c r="S36" s="28">
        <v>0.28900692033238362</v>
      </c>
    </row>
    <row r="37" spans="1:19" ht="15.75" x14ac:dyDescent="0.25">
      <c r="A37" s="27">
        <v>19</v>
      </c>
      <c r="B37" s="28">
        <v>23.939999999999998</v>
      </c>
      <c r="C37" s="28">
        <v>3.0203973248564848</v>
      </c>
      <c r="D37" s="28">
        <v>0.95513349852259966</v>
      </c>
      <c r="E37" s="28">
        <v>16.399999999999999</v>
      </c>
      <c r="F37" s="28">
        <v>1.0606601717798212</v>
      </c>
      <c r="G37" s="28">
        <v>0.74999999999999989</v>
      </c>
      <c r="H37" s="28">
        <v>7.5399999999999991</v>
      </c>
      <c r="I37" s="28">
        <v>3.201218518002201</v>
      </c>
      <c r="J37" s="28">
        <v>1.2144052042049311</v>
      </c>
      <c r="K37" s="28">
        <v>28.439999999999998</v>
      </c>
      <c r="L37" s="28">
        <v>1.4849242404918783</v>
      </c>
      <c r="M37" s="28">
        <v>1.0500000000000909</v>
      </c>
      <c r="N37" s="28">
        <v>20.65</v>
      </c>
      <c r="O37" s="28">
        <v>7.0710678118653253E-2</v>
      </c>
      <c r="P37" s="28">
        <v>4.9999999999998934E-2</v>
      </c>
      <c r="Q37" s="28">
        <v>7.7899999999999991</v>
      </c>
      <c r="R37" s="28">
        <v>1.4866068747319789</v>
      </c>
      <c r="S37" s="28">
        <v>1.0511898020815227</v>
      </c>
    </row>
    <row r="38" spans="1:19" ht="15.75" x14ac:dyDescent="0.25">
      <c r="A38" s="27">
        <v>18</v>
      </c>
      <c r="B38" s="28">
        <v>27.209999999999997</v>
      </c>
      <c r="C38" s="28">
        <v>2.5292884374859437</v>
      </c>
      <c r="D38" s="28">
        <v>0.79983123219839858</v>
      </c>
      <c r="E38" s="28">
        <v>21.98</v>
      </c>
      <c r="F38" s="28">
        <v>3.2526911934581073</v>
      </c>
      <c r="G38" s="28">
        <v>2.2999999999999918</v>
      </c>
      <c r="H38" s="28">
        <v>5.2299999999999969</v>
      </c>
      <c r="I38" s="28">
        <v>4.1203519267169417</v>
      </c>
      <c r="J38" s="28">
        <v>2.4351036938906669</v>
      </c>
      <c r="K38" s="28">
        <v>16.899999999999999</v>
      </c>
      <c r="L38" s="28">
        <v>0.35355339059327379</v>
      </c>
      <c r="M38" s="28">
        <v>0.25</v>
      </c>
      <c r="N38" s="28">
        <v>5.2949999999999999</v>
      </c>
      <c r="O38" s="28">
        <v>0.12020815280169861</v>
      </c>
      <c r="P38" s="28">
        <v>8.4999999999989764E-2</v>
      </c>
      <c r="Q38" s="28">
        <v>11.604999999999999</v>
      </c>
      <c r="R38" s="28">
        <v>0.3734300469967522</v>
      </c>
      <c r="S38" s="28">
        <v>0.26405491853021457</v>
      </c>
    </row>
    <row r="39" spans="1:19" ht="15.75" x14ac:dyDescent="0.25">
      <c r="A39" s="27">
        <v>17</v>
      </c>
      <c r="B39" s="28">
        <v>27</v>
      </c>
      <c r="C39" s="28">
        <v>1.7776388834631407</v>
      </c>
      <c r="D39" s="28">
        <v>0.56213877290221503</v>
      </c>
      <c r="E39" s="28">
        <v>16.675000000000001</v>
      </c>
      <c r="F39" s="28">
        <v>1.8738329701443255</v>
      </c>
      <c r="G39" s="28">
        <v>1.324999999999982</v>
      </c>
      <c r="H39" s="28">
        <v>10.324999999999999</v>
      </c>
      <c r="I39" s="28">
        <v>2.5828763036583822</v>
      </c>
      <c r="J39" s="28">
        <v>1.4393140727443612</v>
      </c>
      <c r="K39" s="28">
        <v>36.055</v>
      </c>
      <c r="L39" s="28">
        <v>1.6617009357882553</v>
      </c>
      <c r="M39" s="28">
        <v>1.174999999999907</v>
      </c>
      <c r="N39" s="28">
        <v>22.520000000000003</v>
      </c>
      <c r="O39" s="28">
        <v>1.4142135623730649E-2</v>
      </c>
      <c r="P39" s="28">
        <v>9.9999999999997868E-3</v>
      </c>
      <c r="Q39" s="28">
        <v>13.534999999999997</v>
      </c>
      <c r="R39" s="28">
        <v>1.6617611139991102</v>
      </c>
      <c r="S39" s="28">
        <v>1.1750425524208821</v>
      </c>
    </row>
    <row r="40" spans="1:19" ht="15.75" x14ac:dyDescent="0.25">
      <c r="A40" s="27">
        <v>16</v>
      </c>
      <c r="B40" s="28">
        <v>26.429999999999996</v>
      </c>
      <c r="C40" s="28">
        <v>2.0735717976477828</v>
      </c>
      <c r="D40" s="28">
        <v>0.65572097724567702</v>
      </c>
      <c r="E40" s="28">
        <v>15.484999999999999</v>
      </c>
      <c r="F40" s="28">
        <v>1.2091525958290337</v>
      </c>
      <c r="G40" s="28">
        <v>0.85500000000002641</v>
      </c>
      <c r="H40" s="28">
        <v>10.944999999999997</v>
      </c>
      <c r="I40" s="28">
        <v>2.4003645556457349</v>
      </c>
      <c r="J40" s="28">
        <v>1.0774947795697531</v>
      </c>
      <c r="K40" s="28">
        <v>24.82</v>
      </c>
      <c r="L40" s="28">
        <v>9.8994949366117052E-2</v>
      </c>
      <c r="M40" s="28">
        <v>7.000000000000027E-2</v>
      </c>
      <c r="N40" s="28">
        <v>17.285</v>
      </c>
      <c r="O40" s="28">
        <v>1.1101576464628669</v>
      </c>
      <c r="P40" s="28">
        <v>0.78499999999999093</v>
      </c>
      <c r="Q40" s="28">
        <v>7.5350000000000001</v>
      </c>
      <c r="R40" s="28">
        <v>1.1145626945129519</v>
      </c>
      <c r="S40" s="28">
        <v>0.78811483934765858</v>
      </c>
    </row>
    <row r="41" spans="1:19" ht="15.75" x14ac:dyDescent="0.25">
      <c r="A41" s="27">
        <v>15</v>
      </c>
      <c r="B41" s="28">
        <v>22.97666666666667</v>
      </c>
      <c r="C41" s="28">
        <v>2.0274696874018181</v>
      </c>
      <c r="D41" s="28">
        <v>0.64114220991393367</v>
      </c>
      <c r="E41" s="28">
        <v>12.495000000000001</v>
      </c>
      <c r="F41" s="28">
        <v>0.5020458146424458</v>
      </c>
      <c r="G41" s="28">
        <v>0.35499999999999787</v>
      </c>
      <c r="H41" s="28">
        <v>10.481666666666669</v>
      </c>
      <c r="I41" s="28">
        <v>2.0887037447501315</v>
      </c>
      <c r="J41" s="28">
        <v>0.73286310681690148</v>
      </c>
      <c r="K41" s="26">
        <v>24.59</v>
      </c>
      <c r="L41" s="26">
        <v>0.15556349186103965</v>
      </c>
      <c r="M41" s="26">
        <v>0.10999999999999943</v>
      </c>
      <c r="N41" s="28">
        <v>12.32</v>
      </c>
      <c r="O41" s="28">
        <v>0.36769552621707868</v>
      </c>
      <c r="P41" s="28">
        <v>0.2600000000000523</v>
      </c>
      <c r="Q41" s="28">
        <v>12.27</v>
      </c>
      <c r="R41" s="28">
        <v>0.39924929555361038</v>
      </c>
      <c r="S41" s="28">
        <v>0.28231188426991</v>
      </c>
    </row>
    <row r="42" spans="1:19" ht="15.75" x14ac:dyDescent="0.25">
      <c r="A42" s="27">
        <v>14</v>
      </c>
      <c r="B42" s="28">
        <v>18.273333333333333</v>
      </c>
      <c r="C42" s="28">
        <v>2.717376185465191</v>
      </c>
      <c r="D42" s="28">
        <v>0.859309800557014</v>
      </c>
      <c r="E42" s="28">
        <v>10.205</v>
      </c>
      <c r="F42" s="28">
        <v>0.33234018715765618</v>
      </c>
      <c r="G42" s="28">
        <v>0.23499999999998503</v>
      </c>
      <c r="H42" s="28">
        <v>8.0683333333333334</v>
      </c>
      <c r="I42" s="28">
        <v>2.7376236653954718</v>
      </c>
      <c r="J42" s="28">
        <v>0.89086381301146589</v>
      </c>
      <c r="K42" s="26">
        <v>21.475000000000001</v>
      </c>
      <c r="L42" s="26">
        <v>0.75660425586960811</v>
      </c>
      <c r="M42" s="26">
        <v>0.53500000000000159</v>
      </c>
      <c r="N42" s="28">
        <v>8.1050000000000004</v>
      </c>
      <c r="O42" s="28">
        <v>0.74246212024588198</v>
      </c>
      <c r="P42" s="28">
        <v>0.5250000000000048</v>
      </c>
      <c r="Q42" s="28">
        <v>13.370000000000001</v>
      </c>
      <c r="R42" s="28">
        <v>1.0600471687618498</v>
      </c>
      <c r="S42" s="28">
        <v>0.7495665414091045</v>
      </c>
    </row>
    <row r="43" spans="1:19" ht="15.75" x14ac:dyDescent="0.25">
      <c r="A43" s="27">
        <v>13</v>
      </c>
      <c r="B43" s="28">
        <v>28.636666666666667</v>
      </c>
      <c r="C43" s="28">
        <v>1.7983418288338289</v>
      </c>
      <c r="D43" s="28">
        <v>0.56868561906675641</v>
      </c>
      <c r="E43" s="28">
        <v>12.775</v>
      </c>
      <c r="F43" s="28">
        <v>1.265721138323928</v>
      </c>
      <c r="G43" s="28">
        <v>0.89500000000000557</v>
      </c>
      <c r="H43" s="28">
        <v>15.861666666666666</v>
      </c>
      <c r="I43" s="28">
        <v>2.1991096683279396</v>
      </c>
      <c r="J43" s="28">
        <v>1.0603906512853412</v>
      </c>
      <c r="K43" s="26">
        <v>28.035</v>
      </c>
      <c r="L43" s="26">
        <v>0.70003571337459836</v>
      </c>
      <c r="M43" s="26">
        <v>0.49499999999994077</v>
      </c>
      <c r="N43" s="28">
        <v>11.425000000000001</v>
      </c>
      <c r="O43" s="28">
        <v>7.0710678118653244E-3</v>
      </c>
      <c r="P43" s="28">
        <v>4.9999999999998934E-3</v>
      </c>
      <c r="Q43" s="28">
        <v>16.61</v>
      </c>
      <c r="R43" s="28">
        <v>0.70007142492740182</v>
      </c>
      <c r="S43" s="28">
        <v>0.49502525188109481</v>
      </c>
    </row>
  </sheetData>
  <mergeCells count="9">
    <mergeCell ref="A1:A2"/>
    <mergeCell ref="B1:J1"/>
    <mergeCell ref="K1:S1"/>
    <mergeCell ref="B2:D2"/>
    <mergeCell ref="E2:G2"/>
    <mergeCell ref="H2:J2"/>
    <mergeCell ref="K2:M2"/>
    <mergeCell ref="N2:P2"/>
    <mergeCell ref="Q2:S2"/>
  </mergeCell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zoomScale="85" zoomScaleNormal="85" workbookViewId="0">
      <selection activeCell="D16" sqref="D16"/>
    </sheetView>
  </sheetViews>
  <sheetFormatPr defaultRowHeight="15" x14ac:dyDescent="0.25"/>
  <cols>
    <col min="1" max="2" width="24.140625" style="11" customWidth="1"/>
    <col min="3" max="3" width="19.140625" style="11" customWidth="1"/>
    <col min="4" max="4" width="12.85546875" style="11" customWidth="1"/>
    <col min="5" max="5" width="19.5703125" style="11" customWidth="1"/>
    <col min="6" max="16384" width="9.140625" style="11"/>
  </cols>
  <sheetData>
    <row r="1" spans="1:5" x14ac:dyDescent="0.25">
      <c r="A1" s="33" t="s">
        <v>8</v>
      </c>
      <c r="B1" s="19" t="s">
        <v>24</v>
      </c>
      <c r="C1" s="19" t="s">
        <v>9</v>
      </c>
      <c r="D1" s="19" t="s">
        <v>25</v>
      </c>
      <c r="E1" s="19" t="s">
        <v>10</v>
      </c>
    </row>
    <row r="2" spans="1:5" x14ac:dyDescent="0.25">
      <c r="A2" s="20">
        <v>1</v>
      </c>
      <c r="B2" s="21">
        <v>17.610335962306891</v>
      </c>
      <c r="C2" s="21">
        <v>5.7145049916059572E-2</v>
      </c>
      <c r="D2" s="21">
        <v>18.616047124807224</v>
      </c>
      <c r="E2" s="21">
        <v>0.59103289148588367</v>
      </c>
    </row>
    <row r="3" spans="1:5" x14ac:dyDescent="0.25">
      <c r="A3" s="20">
        <v>2</v>
      </c>
      <c r="B3" s="21">
        <v>49.186301277361622</v>
      </c>
      <c r="C3" s="21">
        <v>2.7171037158126992</v>
      </c>
      <c r="D3" s="21">
        <v>41.781786555067505</v>
      </c>
      <c r="E3" s="21">
        <v>1.4690285040354309</v>
      </c>
    </row>
    <row r="4" spans="1:5" x14ac:dyDescent="0.25">
      <c r="A4" s="20">
        <v>3</v>
      </c>
      <c r="B4" s="21">
        <v>79.244018008919113</v>
      </c>
      <c r="C4" s="21">
        <v>2.3551399919038207</v>
      </c>
      <c r="D4" s="21">
        <v>83.989429179623571</v>
      </c>
      <c r="E4" s="21">
        <v>4.0304632258326425</v>
      </c>
    </row>
    <row r="5" spans="1:5" x14ac:dyDescent="0.25">
      <c r="A5" s="20">
        <v>4</v>
      </c>
      <c r="B5" s="21">
        <v>67.345078695723672</v>
      </c>
      <c r="C5" s="21">
        <v>0.4348762505236019</v>
      </c>
      <c r="D5" s="21">
        <v>42.721143942770837</v>
      </c>
      <c r="E5" s="21">
        <v>1.745941346752258</v>
      </c>
    </row>
    <row r="6" spans="1:5" x14ac:dyDescent="0.25">
      <c r="A6" s="20">
        <v>5</v>
      </c>
      <c r="B6" s="21">
        <v>63.17110138539455</v>
      </c>
      <c r="C6" s="21">
        <v>4.2388424978415307</v>
      </c>
      <c r="D6" s="21">
        <v>64.079362567720395</v>
      </c>
      <c r="E6" s="21">
        <v>0.37879285114444028</v>
      </c>
    </row>
    <row r="7" spans="1:5" x14ac:dyDescent="0.25">
      <c r="A7" s="20">
        <v>6</v>
      </c>
      <c r="B7" s="21">
        <v>71.279156613398328</v>
      </c>
      <c r="C7" s="21">
        <v>0.83327750811979051</v>
      </c>
      <c r="D7" s="21">
        <v>62.052822950008732</v>
      </c>
      <c r="E7" s="21">
        <v>4.8423230951343159</v>
      </c>
    </row>
    <row r="8" spans="1:5" x14ac:dyDescent="0.25">
      <c r="A8" s="20">
        <v>7</v>
      </c>
      <c r="B8" s="21">
        <v>38.225416492804882</v>
      </c>
      <c r="C8" s="21">
        <v>1.8100240462233257</v>
      </c>
      <c r="D8" s="21">
        <v>42.536534258105178</v>
      </c>
      <c r="E8" s="21">
        <v>6.6266432042577268</v>
      </c>
    </row>
    <row r="9" spans="1:5" x14ac:dyDescent="0.25">
      <c r="A9" s="20">
        <v>8</v>
      </c>
      <c r="B9" s="21">
        <v>61.00257876674398</v>
      </c>
      <c r="C9" s="21">
        <v>4.5341577567166329</v>
      </c>
      <c r="D9" s="21">
        <v>71.022611747408376</v>
      </c>
      <c r="E9" s="21">
        <v>26.937257338683533</v>
      </c>
    </row>
    <row r="10" spans="1:5" x14ac:dyDescent="0.25">
      <c r="A10" s="20">
        <v>9</v>
      </c>
      <c r="B10" s="21">
        <v>51.81614769815576</v>
      </c>
      <c r="C10" s="21">
        <v>1.5421472642729568</v>
      </c>
      <c r="D10" s="21">
        <v>78.035214228222628</v>
      </c>
      <c r="E10" s="21">
        <v>0.64690771290902993</v>
      </c>
    </row>
    <row r="11" spans="1:5" x14ac:dyDescent="0.25">
      <c r="A11" s="20">
        <v>10</v>
      </c>
      <c r="B11" s="21">
        <v>27.221365069213228</v>
      </c>
      <c r="C11" s="21">
        <v>4.5200333610484398</v>
      </c>
      <c r="D11" s="21">
        <v>26.244410333183282</v>
      </c>
      <c r="E11" s="21">
        <v>1.0994784817381684</v>
      </c>
    </row>
    <row r="12" spans="1:5" x14ac:dyDescent="0.25">
      <c r="A12" s="20">
        <v>11</v>
      </c>
      <c r="B12" s="21">
        <v>43.442246549056463</v>
      </c>
      <c r="C12" s="21">
        <v>0.53926210185177825</v>
      </c>
      <c r="D12" s="21">
        <v>37.57877670216039</v>
      </c>
      <c r="E12" s="21">
        <v>1.4709240078940771</v>
      </c>
    </row>
    <row r="13" spans="1:5" x14ac:dyDescent="0.25">
      <c r="A13" s="20">
        <v>12</v>
      </c>
      <c r="B13" s="21">
        <v>54.05491713831654</v>
      </c>
      <c r="C13" s="21">
        <v>4.0035540557723959</v>
      </c>
      <c r="D13" s="21">
        <v>54.553719449148929</v>
      </c>
      <c r="E13" s="21">
        <v>5.6073788630503358</v>
      </c>
    </row>
    <row r="14" spans="1:5" x14ac:dyDescent="0.25">
      <c r="A14" s="20">
        <v>40</v>
      </c>
      <c r="B14" s="21">
        <v>69.313033743905748</v>
      </c>
      <c r="C14" s="21">
        <v>28.293333762862325</v>
      </c>
      <c r="D14" s="21">
        <v>20.057928283608753</v>
      </c>
      <c r="E14" s="21">
        <v>3.0639342359669666</v>
      </c>
    </row>
    <row r="15" spans="1:5" x14ac:dyDescent="0.25">
      <c r="A15" s="20">
        <v>39</v>
      </c>
      <c r="B15" s="21">
        <v>45.874986763079484</v>
      </c>
      <c r="C15" s="21">
        <v>1.2815857251430778</v>
      </c>
      <c r="D15" s="21">
        <v>16.102440089851939</v>
      </c>
      <c r="E15" s="21">
        <v>1.7371085820559935</v>
      </c>
    </row>
    <row r="16" spans="1:5" x14ac:dyDescent="0.25">
      <c r="A16" s="20">
        <v>38</v>
      </c>
      <c r="B16" s="21">
        <v>37.789809321333209</v>
      </c>
      <c r="C16" s="21">
        <v>0.82938084732942707</v>
      </c>
      <c r="D16" s="21">
        <v>25.918026698703052</v>
      </c>
      <c r="E16" s="21">
        <v>0.95464206100168836</v>
      </c>
    </row>
    <row r="17" spans="1:5" x14ac:dyDescent="0.25">
      <c r="A17" s="20">
        <v>37</v>
      </c>
      <c r="B17" s="21">
        <v>54.863020236244417</v>
      </c>
      <c r="C17" s="21">
        <v>1.2783151149076333</v>
      </c>
      <c r="D17" s="21">
        <v>32.374370897379251</v>
      </c>
      <c r="E17" s="21">
        <v>3.3967591628665863</v>
      </c>
    </row>
    <row r="18" spans="1:5" x14ac:dyDescent="0.25">
      <c r="A18" s="20">
        <v>36</v>
      </c>
      <c r="B18" s="21">
        <v>46.750766253693541</v>
      </c>
      <c r="C18" s="21">
        <v>1.0582365260845683</v>
      </c>
      <c r="D18" s="21">
        <v>40.78341239505589</v>
      </c>
      <c r="E18" s="21">
        <v>1.7793679207776838</v>
      </c>
    </row>
    <row r="19" spans="1:5" x14ac:dyDescent="0.25">
      <c r="A19" s="20">
        <v>35</v>
      </c>
      <c r="B19" s="21">
        <v>29.057926072257722</v>
      </c>
      <c r="C19" s="21">
        <v>2.4062400941583464</v>
      </c>
      <c r="D19" s="21">
        <v>11.517429795708379</v>
      </c>
      <c r="E19" s="21">
        <v>0.12525783952628131</v>
      </c>
    </row>
    <row r="20" spans="1:5" x14ac:dyDescent="0.25">
      <c r="A20" s="20">
        <v>34</v>
      </c>
      <c r="B20" s="21">
        <v>26.914409101432376</v>
      </c>
      <c r="C20" s="21">
        <v>1.1993016346763694</v>
      </c>
      <c r="D20" s="21">
        <v>43.19782495267107</v>
      </c>
      <c r="E20" s="21">
        <v>1.2125672959654432</v>
      </c>
    </row>
    <row r="21" spans="1:5" x14ac:dyDescent="0.25">
      <c r="A21" s="20">
        <v>33</v>
      </c>
      <c r="B21" s="21">
        <v>24.445792610014816</v>
      </c>
      <c r="C21" s="21">
        <v>1.7850164976452427</v>
      </c>
      <c r="D21" s="21">
        <v>19.763080438838536</v>
      </c>
      <c r="E21" s="21">
        <v>0.48723373485179683</v>
      </c>
    </row>
    <row r="22" spans="1:5" x14ac:dyDescent="0.25">
      <c r="A22" s="20">
        <v>32</v>
      </c>
      <c r="B22" s="21">
        <v>16.428330745377021</v>
      </c>
      <c r="C22" s="21">
        <v>1.0526433834702582</v>
      </c>
      <c r="D22" s="21">
        <v>14.617711083425309</v>
      </c>
      <c r="E22" s="21">
        <v>3.5749919720933852</v>
      </c>
    </row>
    <row r="23" spans="1:5" x14ac:dyDescent="0.25">
      <c r="A23" s="20">
        <v>31</v>
      </c>
      <c r="B23" s="21">
        <v>14.943155530946797</v>
      </c>
      <c r="C23" s="21">
        <v>0.43777400710798475</v>
      </c>
      <c r="D23" s="21">
        <v>10.940758479512306</v>
      </c>
      <c r="E23" s="21">
        <v>1.2940636875550875</v>
      </c>
    </row>
    <row r="24" spans="1:5" x14ac:dyDescent="0.25">
      <c r="A24" s="20">
        <v>30</v>
      </c>
      <c r="B24" s="21">
        <v>15.95707555252746</v>
      </c>
      <c r="C24" s="21">
        <v>0.46359811735552992</v>
      </c>
      <c r="D24" s="21">
        <v>5.9958438429191592</v>
      </c>
      <c r="E24" s="21">
        <v>4.5986983774896481E-3</v>
      </c>
    </row>
    <row r="25" spans="1:5" x14ac:dyDescent="0.25">
      <c r="A25" s="20">
        <v>29</v>
      </c>
      <c r="B25" s="21">
        <v>14.43675706497206</v>
      </c>
      <c r="C25" s="21">
        <v>6.0045040016181231E-2</v>
      </c>
      <c r="D25" s="21">
        <v>9.4708630316288556</v>
      </c>
      <c r="E25" s="21">
        <v>0.43447787888998529</v>
      </c>
    </row>
    <row r="26" spans="1:5" x14ac:dyDescent="0.25">
      <c r="A26" s="20">
        <v>28</v>
      </c>
      <c r="B26" s="21">
        <v>7.9557762266353134</v>
      </c>
      <c r="C26" s="21">
        <v>0.4241060223767934</v>
      </c>
      <c r="D26" s="21">
        <v>6.79535602166212</v>
      </c>
      <c r="E26" s="21">
        <v>4.8347765191814267E-2</v>
      </c>
    </row>
    <row r="27" spans="1:5" s="12" customFormat="1" x14ac:dyDescent="0.25">
      <c r="A27" s="20">
        <v>27</v>
      </c>
      <c r="B27" s="22">
        <v>9.1528634177793062</v>
      </c>
      <c r="C27" s="22">
        <v>0.33249964146319327</v>
      </c>
      <c r="D27" s="22">
        <v>11.17119944151217</v>
      </c>
      <c r="E27" s="22">
        <v>2.0506670238045457</v>
      </c>
    </row>
    <row r="28" spans="1:5" x14ac:dyDescent="0.25">
      <c r="A28" s="20">
        <v>26</v>
      </c>
      <c r="B28" s="21">
        <v>6.8215339233039494</v>
      </c>
      <c r="C28" s="21">
        <v>9.6471057905245932</v>
      </c>
      <c r="D28" s="21">
        <v>8.5277533581301217</v>
      </c>
      <c r="E28" s="21">
        <v>1.2725696681340162</v>
      </c>
    </row>
    <row r="29" spans="1:5" x14ac:dyDescent="0.25">
      <c r="A29" s="20">
        <v>25</v>
      </c>
      <c r="B29" s="21">
        <v>7.0030995424411504</v>
      </c>
      <c r="C29" s="21">
        <v>0.39203043434782053</v>
      </c>
      <c r="D29" s="21">
        <v>8.75509726186705</v>
      </c>
      <c r="E29" s="21">
        <v>0.35074580633594848</v>
      </c>
    </row>
    <row r="30" spans="1:5" x14ac:dyDescent="0.25">
      <c r="A30" s="20">
        <v>24</v>
      </c>
      <c r="B30" s="21">
        <v>7.0150524923852622</v>
      </c>
      <c r="C30" s="21">
        <v>0.93641363119674981</v>
      </c>
      <c r="D30" s="21">
        <v>13.144833494892431</v>
      </c>
      <c r="E30" s="21">
        <v>3.7581827466684836</v>
      </c>
    </row>
    <row r="31" spans="1:5" x14ac:dyDescent="0.25">
      <c r="A31" s="20">
        <v>23</v>
      </c>
      <c r="B31" s="21">
        <v>7.1523390065850334</v>
      </c>
      <c r="C31" s="21">
        <v>0.10255097439922445</v>
      </c>
      <c r="D31" s="21">
        <v>12.855087240045048</v>
      </c>
      <c r="E31" s="21">
        <v>1.9926449546850371</v>
      </c>
    </row>
    <row r="32" spans="1:5" x14ac:dyDescent="0.25">
      <c r="A32" s="20">
        <v>22</v>
      </c>
      <c r="B32" s="21">
        <v>10.806967291556493</v>
      </c>
      <c r="C32" s="21">
        <v>0.2210845316661357</v>
      </c>
      <c r="D32" s="21">
        <v>12.43188046726606</v>
      </c>
      <c r="E32" s="21">
        <v>0.51149210042507465</v>
      </c>
    </row>
    <row r="33" spans="1:5" x14ac:dyDescent="0.25">
      <c r="A33" s="20">
        <v>21</v>
      </c>
      <c r="B33" s="21">
        <v>5.5209891285252759</v>
      </c>
      <c r="C33" s="21">
        <v>0.25910420229213899</v>
      </c>
      <c r="D33" s="21">
        <v>24.311606155773944</v>
      </c>
      <c r="E33" s="21">
        <v>3.2685923904558232</v>
      </c>
    </row>
    <row r="34" spans="1:5" x14ac:dyDescent="0.25">
      <c r="A34" s="20">
        <v>20</v>
      </c>
      <c r="B34" s="21">
        <v>21.125049818485671</v>
      </c>
      <c r="C34" s="21">
        <v>7.1947834284600817E-2</v>
      </c>
      <c r="D34" s="21">
        <v>26.922736741208805</v>
      </c>
      <c r="E34" s="21">
        <v>2.1806087847210565</v>
      </c>
    </row>
    <row r="35" spans="1:5" x14ac:dyDescent="0.25">
      <c r="A35" s="20">
        <v>19</v>
      </c>
      <c r="B35" s="21">
        <v>30.888404577845744</v>
      </c>
      <c r="C35" s="21">
        <v>1.0713383155152598</v>
      </c>
      <c r="D35" s="21">
        <v>20.536055990945414</v>
      </c>
      <c r="E35" s="21">
        <v>0.65502976816050085</v>
      </c>
    </row>
    <row r="36" spans="1:5" x14ac:dyDescent="0.25">
      <c r="A36" s="20">
        <v>18</v>
      </c>
      <c r="B36" s="21">
        <v>24.233249206223242</v>
      </c>
      <c r="C36" s="21">
        <v>0.13673389761727484</v>
      </c>
      <c r="D36" s="21">
        <v>28.931735268885326</v>
      </c>
      <c r="E36" s="21">
        <v>1.2393244619210306</v>
      </c>
    </row>
    <row r="37" spans="1:5" x14ac:dyDescent="0.25">
      <c r="A37" s="20">
        <v>17</v>
      </c>
      <c r="B37" s="21">
        <v>19.60765909858813</v>
      </c>
      <c r="C37" s="21">
        <v>2.3323969766216108</v>
      </c>
      <c r="D37" s="21">
        <v>45.488973251833627</v>
      </c>
      <c r="E37" s="21">
        <v>1.7116131311915286</v>
      </c>
    </row>
    <row r="38" spans="1:5" x14ac:dyDescent="0.25">
      <c r="A38" s="20">
        <v>16</v>
      </c>
      <c r="B38" s="21">
        <v>30.082566516458225</v>
      </c>
      <c r="C38" s="21">
        <v>1.0100102311892658</v>
      </c>
      <c r="D38" s="21">
        <v>49.240176015892516</v>
      </c>
      <c r="E38" s="21">
        <v>0.27324583676388314</v>
      </c>
    </row>
    <row r="39" spans="1:5" x14ac:dyDescent="0.25">
      <c r="A39" s="20">
        <v>15</v>
      </c>
      <c r="B39" s="21">
        <v>24.102421965936479</v>
      </c>
      <c r="C39" s="21">
        <v>6.9158047079479645E-2</v>
      </c>
      <c r="D39" s="21">
        <v>37.557572508987988</v>
      </c>
      <c r="E39" s="21">
        <v>1.4375940608041453</v>
      </c>
    </row>
    <row r="40" spans="1:5" x14ac:dyDescent="0.25">
      <c r="A40" s="20">
        <v>14</v>
      </c>
      <c r="B40" s="21">
        <v>16.187274571191292</v>
      </c>
      <c r="C40" s="21">
        <v>0.32578429074709192</v>
      </c>
      <c r="D40" s="21">
        <v>43.338044736869051</v>
      </c>
      <c r="E40" s="21">
        <v>2.1144688509735441</v>
      </c>
    </row>
    <row r="41" spans="1:5" x14ac:dyDescent="0.25">
      <c r="A41" s="20">
        <v>13</v>
      </c>
      <c r="B41" s="21">
        <v>17.926250851703127</v>
      </c>
      <c r="C41" s="21">
        <v>0.39860079015243982</v>
      </c>
      <c r="D41" s="21">
        <v>44.347749010497864</v>
      </c>
      <c r="E41" s="21">
        <v>3.9043735457679798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2"/>
  <sheetViews>
    <sheetView topLeftCell="A3" zoomScale="85" zoomScaleNormal="85" workbookViewId="0">
      <selection activeCell="B45" sqref="B45"/>
    </sheetView>
  </sheetViews>
  <sheetFormatPr defaultRowHeight="15" x14ac:dyDescent="0.25"/>
  <cols>
    <col min="1" max="2" width="16.7109375" style="13" customWidth="1"/>
    <col min="3" max="3" width="9.140625" style="13" customWidth="1"/>
    <col min="4" max="4" width="11.85546875" style="13" customWidth="1"/>
    <col min="5" max="5" width="13.5703125" style="13" customWidth="1"/>
    <col min="6" max="7" width="9.140625" style="13"/>
    <col min="8" max="8" width="11.140625" style="13" customWidth="1"/>
    <col min="9" max="9" width="11.85546875" style="13" customWidth="1"/>
    <col min="10" max="10" width="17" style="13" customWidth="1"/>
    <col min="11" max="11" width="16.140625" style="13" customWidth="1"/>
    <col min="12" max="16384" width="9.140625" style="13"/>
  </cols>
  <sheetData>
    <row r="1" spans="1:11" x14ac:dyDescent="0.25">
      <c r="A1" s="30" t="s">
        <v>15</v>
      </c>
      <c r="B1" s="42" t="s">
        <v>16</v>
      </c>
      <c r="C1" s="30" t="s">
        <v>17</v>
      </c>
      <c r="D1" s="30" t="s">
        <v>18</v>
      </c>
      <c r="E1" s="30" t="s">
        <v>35</v>
      </c>
      <c r="F1" s="30" t="s">
        <v>19</v>
      </c>
      <c r="G1" s="30" t="s">
        <v>20</v>
      </c>
      <c r="H1" s="30" t="s">
        <v>21</v>
      </c>
      <c r="I1" s="30" t="s">
        <v>36</v>
      </c>
      <c r="J1" s="30" t="s">
        <v>22</v>
      </c>
      <c r="K1" s="30" t="s">
        <v>37</v>
      </c>
    </row>
    <row r="2" spans="1:11" x14ac:dyDescent="0.25">
      <c r="A2" s="14" t="s">
        <v>8</v>
      </c>
      <c r="B2" s="15" t="s">
        <v>23</v>
      </c>
      <c r="C2" s="15" t="s">
        <v>23</v>
      </c>
      <c r="D2" s="15" t="s">
        <v>23</v>
      </c>
      <c r="E2" s="15" t="s">
        <v>23</v>
      </c>
      <c r="F2" s="15" t="s">
        <v>23</v>
      </c>
      <c r="G2" s="15" t="s">
        <v>23</v>
      </c>
      <c r="H2" s="15" t="s">
        <v>23</v>
      </c>
      <c r="I2" s="15" t="s">
        <v>23</v>
      </c>
      <c r="J2" s="15" t="s">
        <v>23</v>
      </c>
      <c r="K2" s="15" t="s">
        <v>23</v>
      </c>
    </row>
    <row r="3" spans="1:11" x14ac:dyDescent="0.25">
      <c r="A3" s="15">
        <v>1</v>
      </c>
      <c r="B3" s="16">
        <v>0.66</v>
      </c>
      <c r="C3" s="16">
        <v>1.03</v>
      </c>
      <c r="D3" s="16">
        <f>AVERAGE(B3:C3)</f>
        <v>0.84499999999999997</v>
      </c>
      <c r="E3" s="16">
        <f>_xlfn.STDEV.S(B3:C3)</f>
        <v>0.26162950903902282</v>
      </c>
      <c r="F3" s="14">
        <v>0.56000000000000005</v>
      </c>
      <c r="G3" s="14">
        <v>0.96</v>
      </c>
      <c r="H3" s="17">
        <f>AVERAGE(F3:G3)</f>
        <v>0.76</v>
      </c>
      <c r="I3" s="18">
        <f>_xlfn.STDEV.S(F3:G3)</f>
        <v>0.28284271247461912</v>
      </c>
      <c r="J3" s="18">
        <f>AVERAGE(D3,H3)</f>
        <v>0.80249999999999999</v>
      </c>
      <c r="K3" s="17">
        <f>_xlfn.STDEV.S(D3,H3)</f>
        <v>6.0104076400856514E-2</v>
      </c>
    </row>
    <row r="4" spans="1:11" x14ac:dyDescent="0.25">
      <c r="A4" s="15">
        <v>2</v>
      </c>
      <c r="B4" s="16">
        <v>1.75</v>
      </c>
      <c r="C4" s="16">
        <v>2.13</v>
      </c>
      <c r="D4" s="16">
        <f t="shared" ref="D4:D42" si="0">AVERAGE(B4:C4)</f>
        <v>1.94</v>
      </c>
      <c r="E4" s="16">
        <f t="shared" ref="E4:E42" si="1">_xlfn.STDEV.S(B4:C4)</f>
        <v>0.268700576850888</v>
      </c>
      <c r="F4" s="14">
        <v>1.22</v>
      </c>
      <c r="G4" s="14">
        <v>1.94</v>
      </c>
      <c r="H4" s="17">
        <f t="shared" ref="H4:H42" si="2">AVERAGE(F4:G4)</f>
        <v>1.58</v>
      </c>
      <c r="I4" s="18">
        <f t="shared" ref="I4:I42" si="3">_xlfn.STDEV.S(F4:G4)</f>
        <v>0.50911688245431319</v>
      </c>
      <c r="J4" s="18">
        <f t="shared" ref="J4:J42" si="4">AVERAGE(D4,H4)</f>
        <v>1.76</v>
      </c>
      <c r="K4" s="17">
        <f t="shared" ref="K4:K42" si="5">_xlfn.STDEV.S(D4,H4)</f>
        <v>0.25455844122715704</v>
      </c>
    </row>
    <row r="5" spans="1:11" x14ac:dyDescent="0.25">
      <c r="A5" s="15">
        <v>3</v>
      </c>
      <c r="B5" s="16">
        <v>3.33</v>
      </c>
      <c r="C5" s="16">
        <v>3.75</v>
      </c>
      <c r="D5" s="16">
        <f t="shared" si="0"/>
        <v>3.54</v>
      </c>
      <c r="E5" s="16">
        <f t="shared" si="1"/>
        <v>0.29698484809834991</v>
      </c>
      <c r="F5" s="14">
        <v>2.6900000000000004</v>
      </c>
      <c r="G5" s="14">
        <v>4.3</v>
      </c>
      <c r="H5" s="17">
        <f t="shared" si="2"/>
        <v>3.4950000000000001</v>
      </c>
      <c r="I5" s="18">
        <f t="shared" si="3"/>
        <v>1.138441917710342</v>
      </c>
      <c r="J5" s="18">
        <f t="shared" si="4"/>
        <v>3.5175000000000001</v>
      </c>
      <c r="K5" s="17">
        <f t="shared" si="5"/>
        <v>3.1819805153394588E-2</v>
      </c>
    </row>
    <row r="6" spans="1:11" x14ac:dyDescent="0.25">
      <c r="A6" s="15">
        <v>4</v>
      </c>
      <c r="B6" s="16">
        <v>2.74</v>
      </c>
      <c r="C6" s="16">
        <v>3.03</v>
      </c>
      <c r="D6" s="16">
        <f t="shared" si="0"/>
        <v>2.8849999999999998</v>
      </c>
      <c r="E6" s="16">
        <f t="shared" si="1"/>
        <v>0.2050609665440985</v>
      </c>
      <c r="F6" s="14">
        <v>1.4000000000000001</v>
      </c>
      <c r="G6" s="14">
        <v>2.17</v>
      </c>
      <c r="H6" s="17">
        <f t="shared" si="2"/>
        <v>1.7850000000000001</v>
      </c>
      <c r="I6" s="18">
        <f t="shared" si="3"/>
        <v>0.54447222151364172</v>
      </c>
      <c r="J6" s="18">
        <f t="shared" si="4"/>
        <v>2.335</v>
      </c>
      <c r="K6" s="17">
        <f t="shared" si="5"/>
        <v>0.77781745930520252</v>
      </c>
    </row>
    <row r="7" spans="1:11" x14ac:dyDescent="0.25">
      <c r="A7" s="15">
        <v>5</v>
      </c>
      <c r="B7" s="16">
        <v>3.6399999999999997</v>
      </c>
      <c r="C7" s="16">
        <v>3.03</v>
      </c>
      <c r="D7" s="16">
        <f t="shared" si="0"/>
        <v>3.335</v>
      </c>
      <c r="E7" s="16">
        <f t="shared" si="1"/>
        <v>0.43133513652379391</v>
      </c>
      <c r="F7" s="14">
        <v>2.1</v>
      </c>
      <c r="G7" s="14">
        <v>3.15</v>
      </c>
      <c r="H7" s="17">
        <f t="shared" si="2"/>
        <v>2.625</v>
      </c>
      <c r="I7" s="18">
        <f t="shared" si="3"/>
        <v>0.74246212024587466</v>
      </c>
      <c r="J7" s="18">
        <f t="shared" si="4"/>
        <v>2.98</v>
      </c>
      <c r="K7" s="17">
        <f t="shared" si="5"/>
        <v>0.50204581464244924</v>
      </c>
    </row>
    <row r="8" spans="1:11" x14ac:dyDescent="0.25">
      <c r="A8" s="15">
        <v>6</v>
      </c>
      <c r="B8" s="16">
        <v>4.12</v>
      </c>
      <c r="C8" s="16">
        <v>3.66</v>
      </c>
      <c r="D8" s="16">
        <f t="shared" si="0"/>
        <v>3.89</v>
      </c>
      <c r="E8" s="16">
        <f t="shared" si="1"/>
        <v>0.32526911934581182</v>
      </c>
      <c r="F8" s="14">
        <v>2</v>
      </c>
      <c r="G8" s="14">
        <v>3.14</v>
      </c>
      <c r="H8" s="17">
        <f t="shared" si="2"/>
        <v>2.5700000000000003</v>
      </c>
      <c r="I8" s="18">
        <f t="shared" si="3"/>
        <v>0.80610173055266243</v>
      </c>
      <c r="J8" s="18">
        <f t="shared" si="4"/>
        <v>3.2300000000000004</v>
      </c>
      <c r="K8" s="17">
        <f t="shared" si="5"/>
        <v>0.93338095116623987</v>
      </c>
    </row>
    <row r="9" spans="1:11" x14ac:dyDescent="0.25">
      <c r="A9" s="15">
        <v>7</v>
      </c>
      <c r="B9" s="16">
        <v>2.71</v>
      </c>
      <c r="C9" s="16">
        <v>2.23</v>
      </c>
      <c r="D9" s="16">
        <f t="shared" si="0"/>
        <v>2.4699999999999998</v>
      </c>
      <c r="E9" s="16">
        <f t="shared" si="1"/>
        <v>0.33941125496954283</v>
      </c>
      <c r="F9" s="14">
        <v>1.34</v>
      </c>
      <c r="G9" s="14">
        <v>2.2400000000000002</v>
      </c>
      <c r="H9" s="17">
        <f t="shared" si="2"/>
        <v>1.79</v>
      </c>
      <c r="I9" s="18">
        <f t="shared" si="3"/>
        <v>0.63639610306789363</v>
      </c>
      <c r="J9" s="18">
        <f t="shared" si="4"/>
        <v>2.13</v>
      </c>
      <c r="K9" s="17">
        <f t="shared" si="5"/>
        <v>0.48083261120685172</v>
      </c>
    </row>
    <row r="10" spans="1:11" x14ac:dyDescent="0.25">
      <c r="A10" s="15">
        <v>8</v>
      </c>
      <c r="B10" s="16">
        <v>3.3000000000000003</v>
      </c>
      <c r="C10" s="16">
        <v>2.54</v>
      </c>
      <c r="D10" s="16">
        <f t="shared" si="0"/>
        <v>2.92</v>
      </c>
      <c r="E10" s="16">
        <f t="shared" si="1"/>
        <v>0.53740115370178121</v>
      </c>
      <c r="F10" s="14">
        <v>1.52</v>
      </c>
      <c r="G10" s="14">
        <v>2.71</v>
      </c>
      <c r="H10" s="17">
        <f t="shared" si="2"/>
        <v>2.1150000000000002</v>
      </c>
      <c r="I10" s="18">
        <f t="shared" si="3"/>
        <v>0.84145706961199052</v>
      </c>
      <c r="J10" s="18">
        <f t="shared" si="4"/>
        <v>2.5175000000000001</v>
      </c>
      <c r="K10" s="17">
        <f t="shared" si="5"/>
        <v>0.56922095885516943</v>
      </c>
    </row>
    <row r="11" spans="1:11" x14ac:dyDescent="0.25">
      <c r="A11" s="15">
        <v>9</v>
      </c>
      <c r="B11" s="16">
        <v>3.73</v>
      </c>
      <c r="C11" s="16">
        <v>2.23</v>
      </c>
      <c r="D11" s="16">
        <f t="shared" si="0"/>
        <v>2.98</v>
      </c>
      <c r="E11" s="16">
        <f t="shared" si="1"/>
        <v>1.0606601717798212</v>
      </c>
      <c r="F11" s="14">
        <v>1.96</v>
      </c>
      <c r="G11" s="14">
        <v>1.77</v>
      </c>
      <c r="H11" s="17">
        <f t="shared" si="2"/>
        <v>1.865</v>
      </c>
      <c r="I11" s="18">
        <f t="shared" si="3"/>
        <v>0.134350288425444</v>
      </c>
      <c r="J11" s="18">
        <f t="shared" si="4"/>
        <v>2.4224999999999999</v>
      </c>
      <c r="K11" s="17">
        <f t="shared" si="5"/>
        <v>0.78842406102300122</v>
      </c>
    </row>
    <row r="12" spans="1:11" x14ac:dyDescent="0.25">
      <c r="A12" s="15">
        <v>10</v>
      </c>
      <c r="B12" s="16">
        <v>0.76</v>
      </c>
      <c r="C12" s="16">
        <v>1.7599999999999998</v>
      </c>
      <c r="D12" s="16">
        <f t="shared" si="0"/>
        <v>1.2599999999999998</v>
      </c>
      <c r="E12" s="16">
        <f t="shared" si="1"/>
        <v>0.70710678118654779</v>
      </c>
      <c r="F12" s="14">
        <v>0.86999999999999988</v>
      </c>
      <c r="G12" s="14">
        <v>1.46</v>
      </c>
      <c r="H12" s="17">
        <f t="shared" si="2"/>
        <v>1.165</v>
      </c>
      <c r="I12" s="18">
        <f t="shared" si="3"/>
        <v>0.41719300090006228</v>
      </c>
      <c r="J12" s="18">
        <f t="shared" si="4"/>
        <v>1.2124999999999999</v>
      </c>
      <c r="K12" s="17">
        <f t="shared" si="5"/>
        <v>6.7175144212721846E-2</v>
      </c>
    </row>
    <row r="13" spans="1:11" x14ac:dyDescent="0.25">
      <c r="A13" s="15">
        <v>11</v>
      </c>
      <c r="B13" s="16">
        <v>2.7700000000000005</v>
      </c>
      <c r="C13" s="16">
        <v>2.63</v>
      </c>
      <c r="D13" s="16">
        <f t="shared" si="0"/>
        <v>2.7</v>
      </c>
      <c r="E13" s="16">
        <f t="shared" si="1"/>
        <v>9.8994949366117052E-2</v>
      </c>
      <c r="F13" s="14">
        <v>0.98</v>
      </c>
      <c r="G13" s="14">
        <v>1.7599999999999998</v>
      </c>
      <c r="H13" s="17">
        <f t="shared" si="2"/>
        <v>1.3699999999999999</v>
      </c>
      <c r="I13" s="18">
        <f t="shared" si="3"/>
        <v>0.55154328932550734</v>
      </c>
      <c r="J13" s="18">
        <f t="shared" si="4"/>
        <v>2.0350000000000001</v>
      </c>
      <c r="K13" s="17">
        <f t="shared" si="5"/>
        <v>0.94045201897810782</v>
      </c>
    </row>
    <row r="14" spans="1:11" x14ac:dyDescent="0.25">
      <c r="A14" s="15">
        <v>12</v>
      </c>
      <c r="B14" s="16">
        <v>3.54</v>
      </c>
      <c r="C14" s="16">
        <v>3.18</v>
      </c>
      <c r="D14" s="16">
        <f t="shared" si="0"/>
        <v>3.3600000000000003</v>
      </c>
      <c r="E14" s="16">
        <f t="shared" si="1"/>
        <v>0.25455844122715704</v>
      </c>
      <c r="F14" s="14">
        <v>1.6</v>
      </c>
      <c r="G14" s="14">
        <v>2.6500000000000004</v>
      </c>
      <c r="H14" s="17">
        <f t="shared" si="2"/>
        <v>2.125</v>
      </c>
      <c r="I14" s="18">
        <f t="shared" si="3"/>
        <v>0.74246212024587699</v>
      </c>
      <c r="J14" s="18">
        <f t="shared" si="4"/>
        <v>2.7425000000000002</v>
      </c>
      <c r="K14" s="17">
        <f t="shared" si="5"/>
        <v>0.87327687476538585</v>
      </c>
    </row>
    <row r="15" spans="1:11" x14ac:dyDescent="0.25">
      <c r="A15" s="15">
        <v>40</v>
      </c>
      <c r="B15" s="16">
        <v>0.95</v>
      </c>
      <c r="C15" s="16">
        <v>0.62</v>
      </c>
      <c r="D15" s="16">
        <f t="shared" si="0"/>
        <v>0.78499999999999992</v>
      </c>
      <c r="E15" s="16">
        <f t="shared" si="1"/>
        <v>0.23334523779156091</v>
      </c>
      <c r="F15" s="14">
        <v>1.96</v>
      </c>
      <c r="G15" s="14">
        <v>2.1800000000000002</v>
      </c>
      <c r="H15" s="17">
        <f t="shared" si="2"/>
        <v>2.0700000000000003</v>
      </c>
      <c r="I15" s="18">
        <f t="shared" si="3"/>
        <v>0.1555634918610406</v>
      </c>
      <c r="J15" s="18">
        <f t="shared" si="4"/>
        <v>1.4275000000000002</v>
      </c>
      <c r="K15" s="17">
        <f t="shared" si="5"/>
        <v>0.9086322138247136</v>
      </c>
    </row>
    <row r="16" spans="1:11" x14ac:dyDescent="0.25">
      <c r="A16" s="15">
        <v>39</v>
      </c>
      <c r="B16" s="16">
        <v>2.4500000000000002</v>
      </c>
      <c r="C16" s="16">
        <v>1.6800000000000002</v>
      </c>
      <c r="D16" s="16">
        <f t="shared" si="0"/>
        <v>2.0650000000000004</v>
      </c>
      <c r="E16" s="16">
        <f t="shared" si="1"/>
        <v>0.54447222151364005</v>
      </c>
      <c r="F16" s="14">
        <v>2.15</v>
      </c>
      <c r="G16" s="14">
        <v>2.3330000000000002</v>
      </c>
      <c r="H16" s="17">
        <f t="shared" si="2"/>
        <v>2.2415000000000003</v>
      </c>
      <c r="I16" s="18">
        <f t="shared" si="3"/>
        <v>0.1294005409571384</v>
      </c>
      <c r="J16" s="18">
        <f t="shared" si="4"/>
        <v>2.1532500000000003</v>
      </c>
      <c r="K16" s="17">
        <f t="shared" si="5"/>
        <v>0.12480434687942556</v>
      </c>
    </row>
    <row r="17" spans="1:11" x14ac:dyDescent="0.25">
      <c r="A17" s="15">
        <v>38</v>
      </c>
      <c r="B17" s="16">
        <v>1.87</v>
      </c>
      <c r="C17" s="16">
        <v>1.1100000000000001</v>
      </c>
      <c r="D17" s="16">
        <f t="shared" si="0"/>
        <v>1.4900000000000002</v>
      </c>
      <c r="E17" s="16">
        <f t="shared" si="1"/>
        <v>0.53740115370177544</v>
      </c>
      <c r="F17" s="14">
        <v>1.59</v>
      </c>
      <c r="G17" s="14">
        <v>2.3499999999999996</v>
      </c>
      <c r="H17" s="17">
        <f t="shared" si="2"/>
        <v>1.9699999999999998</v>
      </c>
      <c r="I17" s="18">
        <f t="shared" si="3"/>
        <v>0.5374011537017771</v>
      </c>
      <c r="J17" s="18">
        <f t="shared" si="4"/>
        <v>1.73</v>
      </c>
      <c r="K17" s="17">
        <f t="shared" si="5"/>
        <v>0.33941125496954244</v>
      </c>
    </row>
    <row r="18" spans="1:11" x14ac:dyDescent="0.25">
      <c r="A18" s="15">
        <v>37</v>
      </c>
      <c r="B18" s="16">
        <v>2.9699999999999998</v>
      </c>
      <c r="C18" s="16">
        <v>2.3000000000000003</v>
      </c>
      <c r="D18" s="16">
        <f t="shared" si="0"/>
        <v>2.6349999999999998</v>
      </c>
      <c r="E18" s="16">
        <f t="shared" si="1"/>
        <v>0.47376154339498783</v>
      </c>
      <c r="F18" s="14">
        <v>2.36</v>
      </c>
      <c r="G18" s="14">
        <v>1.92</v>
      </c>
      <c r="H18" s="17">
        <f t="shared" si="2"/>
        <v>2.1399999999999997</v>
      </c>
      <c r="I18" s="18">
        <f t="shared" si="3"/>
        <v>0.31112698372208664</v>
      </c>
      <c r="J18" s="18">
        <f t="shared" si="4"/>
        <v>2.3874999999999997</v>
      </c>
      <c r="K18" s="17">
        <f t="shared" si="5"/>
        <v>0.35001785668733981</v>
      </c>
    </row>
    <row r="19" spans="1:11" x14ac:dyDescent="0.25">
      <c r="A19" s="15">
        <v>36</v>
      </c>
      <c r="B19" s="16">
        <v>1.75</v>
      </c>
      <c r="C19" s="16">
        <v>1.21</v>
      </c>
      <c r="D19" s="16">
        <f t="shared" si="0"/>
        <v>1.48</v>
      </c>
      <c r="E19" s="16">
        <f t="shared" si="1"/>
        <v>0.38183766184073614</v>
      </c>
      <c r="F19" s="14">
        <v>1.8599999999999999</v>
      </c>
      <c r="G19" s="14">
        <v>1.9500000000000002</v>
      </c>
      <c r="H19" s="17">
        <f t="shared" si="2"/>
        <v>1.905</v>
      </c>
      <c r="I19" s="18">
        <f t="shared" si="3"/>
        <v>6.3639610306789496E-2</v>
      </c>
      <c r="J19" s="18">
        <f t="shared" si="4"/>
        <v>1.6924999999999999</v>
      </c>
      <c r="K19" s="17">
        <f t="shared" si="5"/>
        <v>0.30052038200428349</v>
      </c>
    </row>
    <row r="20" spans="1:11" x14ac:dyDescent="0.25">
      <c r="A20" s="15">
        <v>35</v>
      </c>
      <c r="B20" s="16">
        <v>1.42</v>
      </c>
      <c r="C20" s="16">
        <v>0.86999999999999988</v>
      </c>
      <c r="D20" s="16">
        <f t="shared" si="0"/>
        <v>1.145</v>
      </c>
      <c r="E20" s="16">
        <f t="shared" si="1"/>
        <v>0.3889087296526007</v>
      </c>
      <c r="F20" s="14">
        <v>1.34</v>
      </c>
      <c r="G20" s="14">
        <v>1.56</v>
      </c>
      <c r="H20" s="17">
        <f t="shared" si="2"/>
        <v>1.4500000000000002</v>
      </c>
      <c r="I20" s="18">
        <f t="shared" si="3"/>
        <v>0.15556349186104043</v>
      </c>
      <c r="J20" s="18">
        <f t="shared" si="4"/>
        <v>1.2975000000000001</v>
      </c>
      <c r="K20" s="17">
        <f t="shared" si="5"/>
        <v>0.21566756826189792</v>
      </c>
    </row>
    <row r="21" spans="1:11" x14ac:dyDescent="0.25">
      <c r="A21" s="15">
        <v>34</v>
      </c>
      <c r="B21" s="16">
        <v>1.43</v>
      </c>
      <c r="C21" s="16">
        <v>1</v>
      </c>
      <c r="D21" s="16">
        <f t="shared" si="0"/>
        <v>1.2149999999999999</v>
      </c>
      <c r="E21" s="16">
        <f t="shared" si="1"/>
        <v>0.30405591591021602</v>
      </c>
      <c r="F21" s="14">
        <v>0.99</v>
      </c>
      <c r="G21" s="14">
        <v>0.99</v>
      </c>
      <c r="H21" s="17">
        <f t="shared" si="2"/>
        <v>0.99</v>
      </c>
      <c r="I21" s="18">
        <f t="shared" si="3"/>
        <v>0</v>
      </c>
      <c r="J21" s="18">
        <f t="shared" si="4"/>
        <v>1.1025</v>
      </c>
      <c r="K21" s="17">
        <f t="shared" si="5"/>
        <v>0.15909902576697202</v>
      </c>
    </row>
    <row r="22" spans="1:11" x14ac:dyDescent="0.25">
      <c r="A22" s="15">
        <v>33</v>
      </c>
      <c r="B22" s="16">
        <v>1.37</v>
      </c>
      <c r="C22" s="16">
        <v>1.29</v>
      </c>
      <c r="D22" s="16">
        <f t="shared" si="0"/>
        <v>1.33</v>
      </c>
      <c r="E22" s="16">
        <f t="shared" si="1"/>
        <v>5.6568542494923851E-2</v>
      </c>
      <c r="F22" s="14">
        <v>1.45</v>
      </c>
      <c r="G22" s="14">
        <v>1.6900000000000002</v>
      </c>
      <c r="H22" s="17">
        <f t="shared" si="2"/>
        <v>1.57</v>
      </c>
      <c r="I22" s="18">
        <f t="shared" si="3"/>
        <v>0.16970562748477155</v>
      </c>
      <c r="J22" s="18">
        <f t="shared" si="4"/>
        <v>1.4500000000000002</v>
      </c>
      <c r="K22" s="17">
        <f t="shared" si="5"/>
        <v>0.16970562748477142</v>
      </c>
    </row>
    <row r="23" spans="1:11" x14ac:dyDescent="0.25">
      <c r="A23" s="15">
        <v>32</v>
      </c>
      <c r="B23" s="16">
        <v>0.97</v>
      </c>
      <c r="C23" s="16">
        <v>0.77</v>
      </c>
      <c r="D23" s="16">
        <f t="shared" si="0"/>
        <v>0.87</v>
      </c>
      <c r="E23" s="16">
        <f t="shared" si="1"/>
        <v>0.14142135623730878</v>
      </c>
      <c r="F23" s="14">
        <v>1.0900000000000001</v>
      </c>
      <c r="G23" s="14">
        <v>1.22</v>
      </c>
      <c r="H23" s="17">
        <f t="shared" si="2"/>
        <v>1.155</v>
      </c>
      <c r="I23" s="18">
        <f t="shared" si="3"/>
        <v>9.1923881554251102E-2</v>
      </c>
      <c r="J23" s="18">
        <f t="shared" si="4"/>
        <v>1.0125</v>
      </c>
      <c r="K23" s="17">
        <f t="shared" si="5"/>
        <v>0.20152543263816589</v>
      </c>
    </row>
    <row r="24" spans="1:11" x14ac:dyDescent="0.25">
      <c r="A24" s="15">
        <v>31</v>
      </c>
      <c r="B24" s="16">
        <v>0.57000000000000006</v>
      </c>
      <c r="C24" s="16">
        <v>1.3900000000000001</v>
      </c>
      <c r="D24" s="16">
        <f t="shared" si="0"/>
        <v>0.98000000000000009</v>
      </c>
      <c r="E24" s="16">
        <f t="shared" si="1"/>
        <v>0.57982756057296925</v>
      </c>
      <c r="F24" s="14">
        <v>0.76</v>
      </c>
      <c r="G24" s="14">
        <v>0.85000000000000009</v>
      </c>
      <c r="H24" s="17">
        <f t="shared" si="2"/>
        <v>0.80500000000000005</v>
      </c>
      <c r="I24" s="18">
        <f t="shared" si="3"/>
        <v>6.3639610306789343E-2</v>
      </c>
      <c r="J24" s="18">
        <f t="shared" si="4"/>
        <v>0.89250000000000007</v>
      </c>
      <c r="K24" s="17">
        <f t="shared" si="5"/>
        <v>0.12374368670764585</v>
      </c>
    </row>
    <row r="25" spans="1:11" x14ac:dyDescent="0.25">
      <c r="A25" s="15">
        <v>30</v>
      </c>
      <c r="B25" s="16">
        <v>0.85000000000000009</v>
      </c>
      <c r="C25" s="16">
        <v>0.6</v>
      </c>
      <c r="D25" s="16">
        <f t="shared" si="0"/>
        <v>0.72500000000000009</v>
      </c>
      <c r="E25" s="16">
        <f t="shared" si="1"/>
        <v>0.17677669529663625</v>
      </c>
      <c r="F25" s="14">
        <v>0.76</v>
      </c>
      <c r="G25" s="14">
        <v>0.79</v>
      </c>
      <c r="H25" s="17">
        <f t="shared" si="2"/>
        <v>0.77500000000000002</v>
      </c>
      <c r="I25" s="18">
        <f t="shared" si="3"/>
        <v>2.1213203435596444E-2</v>
      </c>
      <c r="J25" s="18">
        <f t="shared" si="4"/>
        <v>0.75</v>
      </c>
      <c r="K25" s="17">
        <f t="shared" si="5"/>
        <v>3.5355339059327327E-2</v>
      </c>
    </row>
    <row r="26" spans="1:11" x14ac:dyDescent="0.25">
      <c r="A26" s="15">
        <v>29</v>
      </c>
      <c r="B26" s="16">
        <v>0.84000000000000008</v>
      </c>
      <c r="C26" s="16">
        <v>0.56000000000000005</v>
      </c>
      <c r="D26" s="16">
        <f t="shared" si="0"/>
        <v>0.70000000000000007</v>
      </c>
      <c r="E26" s="16">
        <f t="shared" si="1"/>
        <v>0.19798989873223305</v>
      </c>
      <c r="F26" s="14">
        <v>0.66</v>
      </c>
      <c r="G26" s="14">
        <v>0.78</v>
      </c>
      <c r="H26" s="17">
        <f t="shared" si="2"/>
        <v>0.72</v>
      </c>
      <c r="I26" s="18">
        <f t="shared" si="3"/>
        <v>8.4852813742385708E-2</v>
      </c>
      <c r="J26" s="18">
        <f t="shared" si="4"/>
        <v>0.71</v>
      </c>
      <c r="K26" s="17">
        <f t="shared" si="5"/>
        <v>1.4142135623730885E-2</v>
      </c>
    </row>
    <row r="27" spans="1:11" x14ac:dyDescent="0.25">
      <c r="A27" s="15">
        <v>28</v>
      </c>
      <c r="B27" s="16">
        <v>0.48</v>
      </c>
      <c r="C27" s="16">
        <v>0.44999999999999996</v>
      </c>
      <c r="D27" s="16">
        <f t="shared" si="0"/>
        <v>0.46499999999999997</v>
      </c>
      <c r="E27" s="16">
        <f t="shared" si="1"/>
        <v>2.1213203435596444E-2</v>
      </c>
      <c r="F27" s="14">
        <v>0.58000000000000007</v>
      </c>
      <c r="G27" s="14">
        <v>0.56000000000000005</v>
      </c>
      <c r="H27" s="17">
        <f t="shared" si="2"/>
        <v>0.57000000000000006</v>
      </c>
      <c r="I27" s="18">
        <f t="shared" si="3"/>
        <v>1.4142135623730963E-2</v>
      </c>
      <c r="J27" s="18">
        <f t="shared" si="4"/>
        <v>0.51750000000000007</v>
      </c>
      <c r="K27" s="17">
        <f t="shared" si="5"/>
        <v>7.4246212024586949E-2</v>
      </c>
    </row>
    <row r="28" spans="1:11" x14ac:dyDescent="0.25">
      <c r="A28" s="15">
        <v>27</v>
      </c>
      <c r="B28" s="16">
        <v>0.62</v>
      </c>
      <c r="C28" s="16">
        <v>0.52</v>
      </c>
      <c r="D28" s="16">
        <f t="shared" si="0"/>
        <v>0.57000000000000006</v>
      </c>
      <c r="E28" s="16">
        <f t="shared" si="1"/>
        <v>7.0710678118654738E-2</v>
      </c>
      <c r="F28" s="14">
        <v>0.58000000000000007</v>
      </c>
      <c r="G28" s="14">
        <v>0.57000000000000006</v>
      </c>
      <c r="H28" s="17">
        <f t="shared" si="2"/>
        <v>0.57500000000000007</v>
      </c>
      <c r="I28" s="18">
        <f t="shared" si="3"/>
        <v>7.0710678118654814E-3</v>
      </c>
      <c r="J28" s="18">
        <f t="shared" si="4"/>
        <v>0.57250000000000001</v>
      </c>
      <c r="K28" s="17">
        <f t="shared" si="5"/>
        <v>3.5355339059327407E-3</v>
      </c>
    </row>
    <row r="29" spans="1:11" x14ac:dyDescent="0.25">
      <c r="A29" s="15">
        <v>26</v>
      </c>
      <c r="B29" s="16">
        <v>0.84000000000000008</v>
      </c>
      <c r="C29" s="16">
        <v>0.82000000000000006</v>
      </c>
      <c r="D29" s="16">
        <f t="shared" si="0"/>
        <v>0.83000000000000007</v>
      </c>
      <c r="E29" s="16">
        <f t="shared" si="1"/>
        <v>1.4142135623730963E-2</v>
      </c>
      <c r="F29" s="14">
        <v>0.68</v>
      </c>
      <c r="G29" s="14">
        <v>0.68</v>
      </c>
      <c r="H29" s="17">
        <f t="shared" si="2"/>
        <v>0.68</v>
      </c>
      <c r="I29" s="18">
        <f t="shared" si="3"/>
        <v>0</v>
      </c>
      <c r="J29" s="18">
        <f t="shared" si="4"/>
        <v>0.75500000000000012</v>
      </c>
      <c r="K29" s="17">
        <f t="shared" si="5"/>
        <v>0.10606601717798214</v>
      </c>
    </row>
    <row r="30" spans="1:11" x14ac:dyDescent="0.25">
      <c r="A30" s="15">
        <v>25</v>
      </c>
      <c r="B30" s="16">
        <v>0.81</v>
      </c>
      <c r="C30" s="16">
        <v>0.73</v>
      </c>
      <c r="D30" s="16">
        <f t="shared" si="0"/>
        <v>0.77</v>
      </c>
      <c r="E30" s="16">
        <f t="shared" si="1"/>
        <v>5.6568542494923851E-2</v>
      </c>
      <c r="F30" s="14">
        <v>0.37</v>
      </c>
      <c r="G30" s="14">
        <v>0.37</v>
      </c>
      <c r="H30" s="17">
        <f t="shared" si="2"/>
        <v>0.37</v>
      </c>
      <c r="I30" s="18">
        <f t="shared" si="3"/>
        <v>0</v>
      </c>
      <c r="J30" s="18">
        <f t="shared" si="4"/>
        <v>0.57000000000000006</v>
      </c>
      <c r="K30" s="17">
        <f t="shared" si="5"/>
        <v>0.28284271247461873</v>
      </c>
    </row>
    <row r="31" spans="1:11" x14ac:dyDescent="0.25">
      <c r="A31" s="15">
        <v>24</v>
      </c>
      <c r="B31" s="16">
        <v>0.56000000000000005</v>
      </c>
      <c r="C31" s="16">
        <v>0.42999999999999994</v>
      </c>
      <c r="D31" s="16">
        <f t="shared" si="0"/>
        <v>0.495</v>
      </c>
      <c r="E31" s="16">
        <f t="shared" si="1"/>
        <v>9.1923881554251255E-2</v>
      </c>
      <c r="F31" s="14">
        <v>0.51</v>
      </c>
      <c r="G31" s="14">
        <v>0.5</v>
      </c>
      <c r="H31" s="17">
        <f t="shared" si="2"/>
        <v>0.505</v>
      </c>
      <c r="I31" s="18">
        <f t="shared" si="3"/>
        <v>7.0710678118654814E-3</v>
      </c>
      <c r="J31" s="18">
        <f t="shared" si="4"/>
        <v>0.5</v>
      </c>
      <c r="K31" s="17">
        <f t="shared" si="5"/>
        <v>7.0710678118654814E-3</v>
      </c>
    </row>
    <row r="32" spans="1:11" x14ac:dyDescent="0.25">
      <c r="A32" s="15">
        <v>23</v>
      </c>
      <c r="B32" s="16">
        <v>0.62</v>
      </c>
      <c r="C32" s="16">
        <v>0.55000000000000004</v>
      </c>
      <c r="D32" s="16">
        <f t="shared" si="0"/>
        <v>0.58499999999999996</v>
      </c>
      <c r="E32" s="16">
        <f t="shared" si="1"/>
        <v>4.949747468305829E-2</v>
      </c>
      <c r="F32" s="14">
        <v>0.39</v>
      </c>
      <c r="G32" s="14">
        <v>0.4</v>
      </c>
      <c r="H32" s="17">
        <f t="shared" si="2"/>
        <v>0.39500000000000002</v>
      </c>
      <c r="I32" s="18">
        <f t="shared" si="3"/>
        <v>7.0710678118654814E-3</v>
      </c>
      <c r="J32" s="18">
        <f t="shared" si="4"/>
        <v>0.49</v>
      </c>
      <c r="K32" s="17">
        <f t="shared" si="5"/>
        <v>0.13435028842544408</v>
      </c>
    </row>
    <row r="33" spans="1:11" x14ac:dyDescent="0.25">
      <c r="A33" s="15">
        <v>22</v>
      </c>
      <c r="B33" s="16">
        <v>0.96</v>
      </c>
      <c r="C33" s="16">
        <v>0.8899999999999999</v>
      </c>
      <c r="D33" s="16">
        <f t="shared" si="0"/>
        <v>0.92499999999999993</v>
      </c>
      <c r="E33" s="16">
        <f t="shared" si="1"/>
        <v>4.9497474683058366E-2</v>
      </c>
      <c r="F33" s="14">
        <v>0.90999999999999992</v>
      </c>
      <c r="G33" s="14">
        <v>0.85000000000000009</v>
      </c>
      <c r="H33" s="17">
        <f t="shared" si="2"/>
        <v>0.88</v>
      </c>
      <c r="I33" s="18">
        <f t="shared" si="3"/>
        <v>4.2426406871192736E-2</v>
      </c>
      <c r="J33" s="18">
        <f t="shared" si="4"/>
        <v>0.90249999999999997</v>
      </c>
      <c r="K33" s="17">
        <f t="shared" si="5"/>
        <v>3.1819805153394588E-2</v>
      </c>
    </row>
    <row r="34" spans="1:11" x14ac:dyDescent="0.25">
      <c r="A34" s="15">
        <v>21</v>
      </c>
      <c r="B34" s="16">
        <v>0.65</v>
      </c>
      <c r="C34" s="16">
        <v>0.56000000000000005</v>
      </c>
      <c r="D34" s="16">
        <f t="shared" si="0"/>
        <v>0.60499999999999998</v>
      </c>
      <c r="E34" s="16">
        <f t="shared" si="1"/>
        <v>6.363961030678926E-2</v>
      </c>
      <c r="F34" s="14">
        <v>0.97</v>
      </c>
      <c r="G34" s="14">
        <v>0.67</v>
      </c>
      <c r="H34" s="17">
        <f t="shared" si="2"/>
        <v>0.82000000000000006</v>
      </c>
      <c r="I34" s="18">
        <f t="shared" si="3"/>
        <v>0.21213203435596409</v>
      </c>
      <c r="J34" s="18">
        <f t="shared" si="4"/>
        <v>0.71250000000000002</v>
      </c>
      <c r="K34" s="17">
        <f t="shared" si="5"/>
        <v>0.15202795795510801</v>
      </c>
    </row>
    <row r="35" spans="1:11" x14ac:dyDescent="0.25">
      <c r="A35" s="15">
        <v>20</v>
      </c>
      <c r="B35" s="16">
        <v>1.34</v>
      </c>
      <c r="C35" s="16">
        <v>1.23</v>
      </c>
      <c r="D35" s="16">
        <f t="shared" si="0"/>
        <v>1.2850000000000001</v>
      </c>
      <c r="E35" s="16">
        <f t="shared" si="1"/>
        <v>7.7781745930520299E-2</v>
      </c>
      <c r="F35" s="14">
        <v>0.75</v>
      </c>
      <c r="G35" s="14">
        <v>1.21</v>
      </c>
      <c r="H35" s="17">
        <f t="shared" si="2"/>
        <v>0.98</v>
      </c>
      <c r="I35" s="18">
        <f t="shared" si="3"/>
        <v>0.32526911934581237</v>
      </c>
      <c r="J35" s="18">
        <f t="shared" si="4"/>
        <v>1.1325000000000001</v>
      </c>
      <c r="K35" s="17">
        <f t="shared" si="5"/>
        <v>0.2156675682618969</v>
      </c>
    </row>
    <row r="36" spans="1:11" x14ac:dyDescent="0.25">
      <c r="A36" s="15">
        <v>19</v>
      </c>
      <c r="B36" s="16">
        <v>1.85</v>
      </c>
      <c r="C36" s="16">
        <v>1.77</v>
      </c>
      <c r="D36" s="16">
        <f t="shared" si="0"/>
        <v>1.81</v>
      </c>
      <c r="E36" s="16">
        <f t="shared" si="1"/>
        <v>5.6568542494923851E-2</v>
      </c>
      <c r="F36" s="14">
        <v>1.51</v>
      </c>
      <c r="G36" s="14">
        <v>2.41</v>
      </c>
      <c r="H36" s="17">
        <f t="shared" si="2"/>
        <v>1.96</v>
      </c>
      <c r="I36" s="18">
        <f t="shared" si="3"/>
        <v>0.63639610306789363</v>
      </c>
      <c r="J36" s="18">
        <f t="shared" si="4"/>
        <v>1.885</v>
      </c>
      <c r="K36" s="17">
        <f t="shared" si="5"/>
        <v>0.10606601717798207</v>
      </c>
    </row>
    <row r="37" spans="1:11" x14ac:dyDescent="0.25">
      <c r="A37" s="15">
        <v>18</v>
      </c>
      <c r="B37" s="16">
        <v>2.8899999999999997</v>
      </c>
      <c r="C37" s="16">
        <v>2.6900000000000004</v>
      </c>
      <c r="D37" s="16">
        <f t="shared" si="0"/>
        <v>2.79</v>
      </c>
      <c r="E37" s="16">
        <f t="shared" si="1"/>
        <v>0.141421356237309</v>
      </c>
      <c r="F37" s="14">
        <v>0.37</v>
      </c>
      <c r="G37" s="14">
        <v>0.64</v>
      </c>
      <c r="H37" s="17">
        <f t="shared" si="2"/>
        <v>0.505</v>
      </c>
      <c r="I37" s="18">
        <f t="shared" si="3"/>
        <v>0.19091883092036779</v>
      </c>
      <c r="J37" s="18">
        <f t="shared" si="4"/>
        <v>1.6475</v>
      </c>
      <c r="K37" s="17">
        <f t="shared" si="5"/>
        <v>1.6157389950112611</v>
      </c>
    </row>
    <row r="38" spans="1:11" x14ac:dyDescent="0.25">
      <c r="A38" s="15">
        <v>17</v>
      </c>
      <c r="B38" s="16">
        <v>1.73</v>
      </c>
      <c r="C38" s="16">
        <v>1.9100000000000001</v>
      </c>
      <c r="D38" s="16">
        <f t="shared" si="0"/>
        <v>1.82</v>
      </c>
      <c r="E38" s="16">
        <f t="shared" si="1"/>
        <v>0.12727922061357869</v>
      </c>
      <c r="F38" s="14">
        <v>1.59</v>
      </c>
      <c r="G38" s="14">
        <v>2.66</v>
      </c>
      <c r="H38" s="17">
        <f t="shared" si="2"/>
        <v>2.125</v>
      </c>
      <c r="I38" s="18">
        <f t="shared" si="3"/>
        <v>0.75660425586960578</v>
      </c>
      <c r="J38" s="18">
        <f t="shared" si="4"/>
        <v>1.9725000000000001</v>
      </c>
      <c r="K38" s="17">
        <f t="shared" si="5"/>
        <v>0.21566756826189695</v>
      </c>
    </row>
    <row r="39" spans="1:11" x14ac:dyDescent="0.25">
      <c r="A39" s="15">
        <v>16</v>
      </c>
      <c r="B39" s="16">
        <v>1.9700000000000002</v>
      </c>
      <c r="C39" s="16">
        <v>1.7199999999999998</v>
      </c>
      <c r="D39" s="16">
        <f t="shared" si="0"/>
        <v>1.845</v>
      </c>
      <c r="E39" s="16">
        <f t="shared" si="1"/>
        <v>0.1767766952966372</v>
      </c>
      <c r="F39" s="14">
        <v>1.34</v>
      </c>
      <c r="G39" s="14">
        <v>2.2200000000000002</v>
      </c>
      <c r="H39" s="17">
        <f t="shared" si="2"/>
        <v>1.7800000000000002</v>
      </c>
      <c r="I39" s="18">
        <f t="shared" si="3"/>
        <v>0.62225396744416106</v>
      </c>
      <c r="J39" s="18">
        <f t="shared" si="4"/>
        <v>1.8125</v>
      </c>
      <c r="K39" s="17">
        <f t="shared" si="5"/>
        <v>4.5961940777125392E-2</v>
      </c>
    </row>
    <row r="40" spans="1:11" x14ac:dyDescent="0.25">
      <c r="A40" s="15">
        <v>15</v>
      </c>
      <c r="B40" s="16">
        <v>1.59</v>
      </c>
      <c r="C40" s="16">
        <v>1.6300000000000001</v>
      </c>
      <c r="D40" s="16">
        <f t="shared" si="0"/>
        <v>1.61</v>
      </c>
      <c r="E40" s="16">
        <f t="shared" si="1"/>
        <v>2.8284271247461926E-2</v>
      </c>
      <c r="F40" s="14">
        <v>0.98</v>
      </c>
      <c r="G40" s="14">
        <v>1.7599999999999998</v>
      </c>
      <c r="H40" s="17">
        <f t="shared" si="2"/>
        <v>1.3699999999999999</v>
      </c>
      <c r="I40" s="18">
        <f t="shared" si="3"/>
        <v>0.55154328932550734</v>
      </c>
      <c r="J40" s="18">
        <f t="shared" si="4"/>
        <v>1.49</v>
      </c>
      <c r="K40" s="17">
        <f t="shared" si="5"/>
        <v>0.16970562748477155</v>
      </c>
    </row>
    <row r="41" spans="1:11" x14ac:dyDescent="0.25">
      <c r="A41" s="15">
        <v>14</v>
      </c>
      <c r="B41" s="16">
        <v>1.32</v>
      </c>
      <c r="C41" s="16">
        <v>1.3</v>
      </c>
      <c r="D41" s="16">
        <f t="shared" si="0"/>
        <v>1.31</v>
      </c>
      <c r="E41" s="16">
        <f t="shared" si="1"/>
        <v>1.4142135623730963E-2</v>
      </c>
      <c r="F41" s="14">
        <v>0.64</v>
      </c>
      <c r="G41" s="14">
        <v>1.05</v>
      </c>
      <c r="H41" s="17">
        <f t="shared" si="2"/>
        <v>0.84499999999999997</v>
      </c>
      <c r="I41" s="18">
        <f t="shared" si="3"/>
        <v>0.28991378028648479</v>
      </c>
      <c r="J41" s="18">
        <f t="shared" si="4"/>
        <v>1.0775000000000001</v>
      </c>
      <c r="K41" s="17">
        <f t="shared" si="5"/>
        <v>0.32880465325174435</v>
      </c>
    </row>
    <row r="42" spans="1:11" x14ac:dyDescent="0.25">
      <c r="A42" s="15">
        <v>13</v>
      </c>
      <c r="B42" s="16">
        <v>1.53</v>
      </c>
      <c r="C42" s="16">
        <v>1.49</v>
      </c>
      <c r="D42" s="16">
        <f t="shared" si="0"/>
        <v>1.51</v>
      </c>
      <c r="E42" s="16">
        <f t="shared" si="1"/>
        <v>2.8284271247461926E-2</v>
      </c>
      <c r="F42" s="14">
        <v>0.84000000000000008</v>
      </c>
      <c r="G42" s="14">
        <v>1.43</v>
      </c>
      <c r="H42" s="17">
        <f t="shared" si="2"/>
        <v>1.135</v>
      </c>
      <c r="I42" s="18">
        <f t="shared" si="3"/>
        <v>0.41719300090006284</v>
      </c>
      <c r="J42" s="18">
        <f t="shared" si="4"/>
        <v>1.3225</v>
      </c>
      <c r="K42" s="17">
        <f t="shared" si="5"/>
        <v>0.26516504294495447</v>
      </c>
    </row>
  </sheetData>
  <pageMargins left="0.7" right="0.7" top="0.75" bottom="0.75" header="0.3" footer="0.3"/>
  <pageSetup paperSize="9" orientation="landscape" r:id="rId1"/>
  <ignoredErrors>
    <ignoredError sqref="D3:E42" formulaRange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zoomScale="85" zoomScaleNormal="85" workbookViewId="0">
      <selection sqref="A1:D1"/>
    </sheetView>
  </sheetViews>
  <sheetFormatPr defaultRowHeight="15" x14ac:dyDescent="0.25"/>
  <cols>
    <col min="1" max="1" width="24.140625" style="11" customWidth="1"/>
    <col min="2" max="2" width="39" style="11" customWidth="1"/>
    <col min="3" max="3" width="39.85546875" style="11" customWidth="1"/>
    <col min="4" max="4" width="19.5703125" style="11" customWidth="1"/>
    <col min="5" max="16384" width="9.140625" style="11"/>
  </cols>
  <sheetData>
    <row r="1" spans="1:4" x14ac:dyDescent="0.25">
      <c r="A1" s="33" t="s">
        <v>8</v>
      </c>
      <c r="B1" s="19" t="s">
        <v>11</v>
      </c>
      <c r="C1" s="19" t="s">
        <v>12</v>
      </c>
      <c r="D1" s="32" t="s">
        <v>14</v>
      </c>
    </row>
    <row r="2" spans="1:4" x14ac:dyDescent="0.25">
      <c r="A2" s="20">
        <v>1</v>
      </c>
      <c r="B2" s="21">
        <v>1.4448819535864814</v>
      </c>
      <c r="C2" s="21">
        <v>1.7723818150770903</v>
      </c>
      <c r="D2" s="21">
        <f>_xlfn.STDEV.S(B2:C2)</f>
        <v>0.23157737289766231</v>
      </c>
    </row>
    <row r="3" spans="1:4" x14ac:dyDescent="0.25">
      <c r="A3" s="20">
        <v>2</v>
      </c>
      <c r="B3" s="21">
        <v>1.6</v>
      </c>
      <c r="C3" s="21">
        <v>1.6410784447280653</v>
      </c>
      <c r="D3" s="21">
        <f t="shared" ref="D3:D41" si="0">_xlfn.STDEV.S(B3:C3)</f>
        <v>2.9046846827811695E-2</v>
      </c>
    </row>
    <row r="4" spans="1:4" x14ac:dyDescent="0.25">
      <c r="A4" s="20">
        <v>3</v>
      </c>
      <c r="B4" s="21">
        <v>1.2802858255911089</v>
      </c>
      <c r="C4" s="21">
        <v>1.1265350352372592</v>
      </c>
      <c r="D4" s="21">
        <f t="shared" si="0"/>
        <v>0.10871822647199839</v>
      </c>
    </row>
    <row r="5" spans="1:4" x14ac:dyDescent="0.25">
      <c r="A5" s="20">
        <v>4</v>
      </c>
      <c r="B5" s="21">
        <v>1.3177579365079364</v>
      </c>
      <c r="C5" s="21">
        <v>1.0733358068422212</v>
      </c>
      <c r="D5" s="21">
        <f t="shared" si="0"/>
        <v>0.17283254535868489</v>
      </c>
    </row>
    <row r="6" spans="1:4" x14ac:dyDescent="0.25">
      <c r="A6" s="20">
        <v>5</v>
      </c>
      <c r="B6" s="21">
        <v>0.67681309964409664</v>
      </c>
      <c r="C6" s="21">
        <v>1.1634672618581481</v>
      </c>
      <c r="D6" s="21">
        <f t="shared" si="0"/>
        <v>0.34411645819421394</v>
      </c>
    </row>
    <row r="7" spans="1:4" x14ac:dyDescent="0.25">
      <c r="A7" s="20">
        <v>6</v>
      </c>
      <c r="B7" s="21">
        <v>1.0093931623931625</v>
      </c>
      <c r="C7" s="21">
        <v>1.1567161300200766</v>
      </c>
      <c r="D7" s="21">
        <f t="shared" si="0"/>
        <v>0.10417306943351717</v>
      </c>
    </row>
    <row r="8" spans="1:4" x14ac:dyDescent="0.25">
      <c r="A8" s="20">
        <v>7</v>
      </c>
      <c r="B8" s="21">
        <v>0.93220921155347392</v>
      </c>
      <c r="C8" s="21">
        <v>1.4316893121335592</v>
      </c>
      <c r="D8" s="21">
        <f t="shared" si="0"/>
        <v>0.35318576618791719</v>
      </c>
    </row>
    <row r="9" spans="1:4" x14ac:dyDescent="0.25">
      <c r="A9" s="20">
        <v>8</v>
      </c>
      <c r="B9" s="21">
        <v>0.83965747771218902</v>
      </c>
      <c r="C9" s="21">
        <v>1.3240656825425794</v>
      </c>
      <c r="D9" s="21">
        <f t="shared" si="0"/>
        <v>0.34252832649797066</v>
      </c>
    </row>
    <row r="10" spans="1:4" x14ac:dyDescent="0.25">
      <c r="A10" s="20">
        <v>9</v>
      </c>
      <c r="B10" s="21">
        <v>1.3899148252713469</v>
      </c>
      <c r="C10" s="21">
        <v>1.3642346790241078</v>
      </c>
      <c r="D10" s="21">
        <f t="shared" si="0"/>
        <v>1.8158605553285061E-2</v>
      </c>
    </row>
    <row r="11" spans="1:4" x14ac:dyDescent="0.25">
      <c r="A11" s="20">
        <v>10</v>
      </c>
      <c r="B11" s="21">
        <v>1.1873914453279197</v>
      </c>
      <c r="C11" s="21">
        <v>1.6906980429444982</v>
      </c>
      <c r="D11" s="21">
        <f t="shared" si="0"/>
        <v>0.35589150819061111</v>
      </c>
    </row>
    <row r="12" spans="1:4" x14ac:dyDescent="0.25">
      <c r="A12" s="20">
        <v>11</v>
      </c>
      <c r="B12" s="21">
        <v>0.81791698653498068</v>
      </c>
      <c r="C12" s="21">
        <v>1.5582629265993428</v>
      </c>
      <c r="D12" s="21">
        <f t="shared" si="0"/>
        <v>0.52350363464344019</v>
      </c>
    </row>
    <row r="13" spans="1:4" x14ac:dyDescent="0.25">
      <c r="A13" s="20">
        <v>12</v>
      </c>
      <c r="B13" s="21">
        <v>0.77486696496780527</v>
      </c>
      <c r="C13" s="21">
        <v>1.234002273681714</v>
      </c>
      <c r="D13" s="21">
        <f t="shared" si="0"/>
        <v>0.32465769027378305</v>
      </c>
    </row>
    <row r="14" spans="1:4" x14ac:dyDescent="0.25">
      <c r="A14" s="20">
        <v>40</v>
      </c>
      <c r="B14" s="21">
        <v>1.6833080507826201</v>
      </c>
      <c r="C14" s="21">
        <v>1.1514043053485619</v>
      </c>
      <c r="D14" s="21">
        <f t="shared" si="0"/>
        <v>0.37611274533494593</v>
      </c>
    </row>
    <row r="15" spans="1:4" x14ac:dyDescent="0.25">
      <c r="A15" s="20">
        <v>39</v>
      </c>
      <c r="B15" s="21">
        <v>1.2362992466439102</v>
      </c>
      <c r="C15" s="21">
        <v>1.1617625791566162</v>
      </c>
      <c r="D15" s="21">
        <f t="shared" si="0"/>
        <v>5.2705383027312473E-2</v>
      </c>
    </row>
    <row r="16" spans="1:4" x14ac:dyDescent="0.25">
      <c r="A16" s="20">
        <v>38</v>
      </c>
      <c r="B16" s="21">
        <v>1.5508528667326948</v>
      </c>
      <c r="C16" s="21">
        <v>1.4392184065595182</v>
      </c>
      <c r="D16" s="21">
        <f t="shared" si="0"/>
        <v>7.8937483802552805E-2</v>
      </c>
    </row>
    <row r="17" spans="1:4" x14ac:dyDescent="0.25">
      <c r="A17" s="20">
        <v>37</v>
      </c>
      <c r="B17" s="21">
        <v>0.99995515037351423</v>
      </c>
      <c r="C17" s="21">
        <v>0.93478518180540893</v>
      </c>
      <c r="D17" s="21">
        <f t="shared" si="0"/>
        <v>4.6082126704221418E-2</v>
      </c>
    </row>
    <row r="18" spans="1:4" x14ac:dyDescent="0.25">
      <c r="A18" s="20">
        <v>36</v>
      </c>
      <c r="B18" s="21">
        <v>1.3896367690877454</v>
      </c>
      <c r="C18" s="21">
        <v>1.3518345633335016</v>
      </c>
      <c r="D18" s="21">
        <f t="shared" si="0"/>
        <v>2.6730196032634886E-2</v>
      </c>
    </row>
    <row r="19" spans="1:4" x14ac:dyDescent="0.25">
      <c r="A19" s="20">
        <v>35</v>
      </c>
      <c r="B19" s="21">
        <v>1.7129259309097442</v>
      </c>
      <c r="C19" s="21">
        <v>1.2651727824742602</v>
      </c>
      <c r="D19" s="21">
        <f t="shared" si="0"/>
        <v>0.31660928755635759</v>
      </c>
    </row>
    <row r="20" spans="1:4" x14ac:dyDescent="0.25">
      <c r="A20" s="20">
        <v>34</v>
      </c>
      <c r="B20" s="21">
        <v>1.3797013978136352</v>
      </c>
      <c r="C20" s="21">
        <v>1.9039060636080614</v>
      </c>
      <c r="D20" s="21">
        <f t="shared" si="0"/>
        <v>0.37066867391286751</v>
      </c>
    </row>
    <row r="21" spans="1:4" x14ac:dyDescent="0.25">
      <c r="A21" s="20">
        <v>33</v>
      </c>
      <c r="B21" s="21">
        <v>1.388447987492246</v>
      </c>
      <c r="C21" s="21">
        <v>1.6792164144028381</v>
      </c>
      <c r="D21" s="21">
        <f t="shared" si="0"/>
        <v>0.20560432642342469</v>
      </c>
    </row>
    <row r="22" spans="1:4" x14ac:dyDescent="0.25">
      <c r="A22" s="20">
        <v>32</v>
      </c>
      <c r="B22" s="21">
        <v>1.4661090146169633</v>
      </c>
      <c r="C22" s="21">
        <v>1.8678369855702597</v>
      </c>
      <c r="D22" s="21">
        <f t="shared" si="0"/>
        <v>0.28406457245339073</v>
      </c>
    </row>
    <row r="23" spans="1:4" x14ac:dyDescent="0.25">
      <c r="A23" s="20">
        <v>31</v>
      </c>
      <c r="B23" s="21">
        <v>1.73241940132011</v>
      </c>
      <c r="C23" s="21">
        <v>1.8291698913084307</v>
      </c>
      <c r="D23" s="21">
        <f t="shared" si="0"/>
        <v>6.8412927553862746E-2</v>
      </c>
    </row>
    <row r="24" spans="1:4" x14ac:dyDescent="0.25">
      <c r="A24" s="20">
        <v>30</v>
      </c>
      <c r="B24" s="21">
        <v>1.6054874198393638</v>
      </c>
      <c r="C24" s="21">
        <v>1.7082773689539219</v>
      </c>
      <c r="D24" s="21">
        <f t="shared" si="0"/>
        <v>7.2683470056724167E-2</v>
      </c>
    </row>
    <row r="25" spans="1:4" x14ac:dyDescent="0.25">
      <c r="A25" s="20">
        <v>29</v>
      </c>
      <c r="B25" s="21">
        <v>1.5369458820348041</v>
      </c>
      <c r="C25" s="21">
        <v>1.8404327890297805</v>
      </c>
      <c r="D25" s="21">
        <f t="shared" si="0"/>
        <v>0.21459764993747887</v>
      </c>
    </row>
    <row r="26" spans="1:4" x14ac:dyDescent="0.25">
      <c r="A26" s="20">
        <v>28</v>
      </c>
      <c r="B26" s="21">
        <v>1.5363296993807924</v>
      </c>
      <c r="C26" s="21">
        <v>1.9811700573003614</v>
      </c>
      <c r="D26" s="21">
        <f t="shared" si="0"/>
        <v>0.31454963363037652</v>
      </c>
    </row>
    <row r="27" spans="1:4" s="12" customFormat="1" x14ac:dyDescent="0.25">
      <c r="A27" s="20">
        <v>27</v>
      </c>
      <c r="B27" s="22">
        <v>1.6027996552905057</v>
      </c>
      <c r="C27" s="22">
        <v>1.9580417825883392</v>
      </c>
      <c r="D27" s="21">
        <f t="shared" si="0"/>
        <v>0.25119411717543277</v>
      </c>
    </row>
    <row r="28" spans="1:4" x14ac:dyDescent="0.25">
      <c r="A28" s="20">
        <v>26</v>
      </c>
      <c r="B28" s="21">
        <v>1.2723620383368657</v>
      </c>
      <c r="C28" s="21">
        <v>1.7562510811694643</v>
      </c>
      <c r="D28" s="21">
        <f t="shared" si="0"/>
        <v>0.34216122352879696</v>
      </c>
    </row>
    <row r="29" spans="1:4" x14ac:dyDescent="0.25">
      <c r="A29" s="20">
        <v>25</v>
      </c>
      <c r="B29" s="21">
        <v>1.2846766253603934</v>
      </c>
      <c r="C29" s="21">
        <v>1.5107453832746836</v>
      </c>
      <c r="D29" s="21">
        <f t="shared" si="0"/>
        <v>0.15985475173561456</v>
      </c>
    </row>
    <row r="30" spans="1:4" x14ac:dyDescent="0.25">
      <c r="A30" s="20">
        <v>24</v>
      </c>
      <c r="B30" s="21">
        <v>1.8389713739125937</v>
      </c>
      <c r="C30" s="21">
        <v>1.8331107643802356</v>
      </c>
      <c r="D30" s="21">
        <f t="shared" si="0"/>
        <v>4.1440767422169468E-3</v>
      </c>
    </row>
    <row r="31" spans="1:4" x14ac:dyDescent="0.25">
      <c r="A31" s="20">
        <v>23</v>
      </c>
      <c r="B31" s="21">
        <v>1.5469899951259614</v>
      </c>
      <c r="C31" s="21">
        <v>1.8560578469717788</v>
      </c>
      <c r="D31" s="21">
        <f t="shared" si="0"/>
        <v>0.21854397388693669</v>
      </c>
    </row>
    <row r="32" spans="1:4" x14ac:dyDescent="0.25">
      <c r="A32" s="20">
        <v>22</v>
      </c>
      <c r="B32" s="21">
        <v>1.3409257095205023</v>
      </c>
      <c r="C32" s="21">
        <v>1.8037352104198729</v>
      </c>
      <c r="D32" s="21">
        <f t="shared" si="0"/>
        <v>0.32725573648350531</v>
      </c>
    </row>
    <row r="33" spans="1:4" x14ac:dyDescent="0.25">
      <c r="A33" s="20">
        <v>21</v>
      </c>
      <c r="B33" s="21">
        <v>1.6657136909468238</v>
      </c>
      <c r="C33" s="21">
        <v>1.6944462045162847</v>
      </c>
      <c r="D33" s="21">
        <f t="shared" si="0"/>
        <v>2.0316955185500321E-2</v>
      </c>
    </row>
    <row r="34" spans="1:4" x14ac:dyDescent="0.25">
      <c r="A34" s="20">
        <v>20</v>
      </c>
      <c r="B34" s="21">
        <v>1.4682918363758741</v>
      </c>
      <c r="C34" s="21">
        <v>1.5771323174933372</v>
      </c>
      <c r="D34" s="21">
        <f t="shared" si="0"/>
        <v>7.6961842265764482E-2</v>
      </c>
    </row>
    <row r="35" spans="1:4" x14ac:dyDescent="0.25">
      <c r="A35" s="20">
        <v>19</v>
      </c>
      <c r="B35" s="21">
        <v>1.2872739413074947</v>
      </c>
      <c r="C35" s="21">
        <v>1.237802134048845</v>
      </c>
      <c r="D35" s="21">
        <f t="shared" si="0"/>
        <v>3.4981850390145099E-2</v>
      </c>
    </row>
    <row r="36" spans="1:4" x14ac:dyDescent="0.25">
      <c r="A36" s="20">
        <v>18</v>
      </c>
      <c r="B36" s="21">
        <v>1.1222596368466065</v>
      </c>
      <c r="C36" s="21">
        <v>1.61783581742202</v>
      </c>
      <c r="D36" s="21">
        <f t="shared" si="0"/>
        <v>0.35042527787940397</v>
      </c>
    </row>
    <row r="37" spans="1:4" x14ac:dyDescent="0.25">
      <c r="A37" s="20">
        <v>17</v>
      </c>
      <c r="B37" s="21">
        <v>1.3551469241726151</v>
      </c>
      <c r="C37" s="21">
        <v>1.3326254384829601</v>
      </c>
      <c r="D37" s="21">
        <f t="shared" si="0"/>
        <v>1.5925095253550806E-2</v>
      </c>
    </row>
    <row r="38" spans="1:4" x14ac:dyDescent="0.25">
      <c r="A38" s="20">
        <v>16</v>
      </c>
      <c r="B38" s="21">
        <v>1.3342113438657643</v>
      </c>
      <c r="C38" s="21">
        <v>1.3737114335365865</v>
      </c>
      <c r="D38" s="21">
        <f t="shared" si="0"/>
        <v>2.7930781263715072E-2</v>
      </c>
    </row>
    <row r="39" spans="1:4" x14ac:dyDescent="0.25">
      <c r="A39" s="20">
        <v>15</v>
      </c>
      <c r="B39" s="21">
        <v>1.2162543435846116</v>
      </c>
      <c r="C39" s="21">
        <v>1.6552333384422075</v>
      </c>
      <c r="D39" s="21">
        <f t="shared" si="0"/>
        <v>0.31040502406225973</v>
      </c>
    </row>
    <row r="40" spans="1:4" x14ac:dyDescent="0.25">
      <c r="A40" s="20">
        <v>14</v>
      </c>
      <c r="B40" s="21">
        <v>1.3280016858714947</v>
      </c>
      <c r="C40" s="21">
        <v>1.7258945945253497</v>
      </c>
      <c r="D40" s="21">
        <f t="shared" si="0"/>
        <v>0.28135277389518071</v>
      </c>
    </row>
    <row r="41" spans="1:4" x14ac:dyDescent="0.25">
      <c r="A41" s="20">
        <v>13</v>
      </c>
      <c r="B41" s="21">
        <v>1.2990680259497889</v>
      </c>
      <c r="C41" s="21">
        <v>1.631900092702218</v>
      </c>
      <c r="D41" s="21">
        <f t="shared" si="0"/>
        <v>0.23534781139697714</v>
      </c>
    </row>
  </sheetData>
  <pageMargins left="0.7" right="0.7" top="0.75" bottom="0.75" header="0.3" footer="0.3"/>
  <pageSetup paperSize="9" orientation="portrait" horizontalDpi="4294967293" r:id="rId1"/>
  <ignoredErrors>
    <ignoredError sqref="D2:D41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zoomScale="85" zoomScaleNormal="85" workbookViewId="0">
      <selection activeCell="I25" sqref="I25"/>
    </sheetView>
  </sheetViews>
  <sheetFormatPr defaultRowHeight="15" x14ac:dyDescent="0.25"/>
  <cols>
    <col min="1" max="2" width="24.140625" style="11" customWidth="1"/>
    <col min="3" max="3" width="42.42578125" style="11" customWidth="1"/>
    <col min="4" max="4" width="28.42578125" style="11" customWidth="1"/>
    <col min="5" max="5" width="45.28515625" style="11" customWidth="1"/>
    <col min="6" max="6" width="28" style="11" customWidth="1"/>
    <col min="7" max="7" width="39.42578125" style="11" customWidth="1"/>
    <col min="8" max="8" width="18.85546875" style="11" customWidth="1"/>
    <col min="9" max="9" width="46.42578125" style="11" customWidth="1"/>
    <col min="10" max="16384" width="9.140625" style="11"/>
  </cols>
  <sheetData>
    <row r="1" spans="1:9" ht="30" customHeight="1" x14ac:dyDescent="0.25">
      <c r="A1" s="31" t="s">
        <v>8</v>
      </c>
      <c r="B1" s="32" t="s">
        <v>13</v>
      </c>
      <c r="C1" s="32" t="s">
        <v>38</v>
      </c>
      <c r="D1" s="32" t="s">
        <v>14</v>
      </c>
      <c r="E1" s="32" t="s">
        <v>40</v>
      </c>
      <c r="F1" s="32" t="s">
        <v>13</v>
      </c>
      <c r="G1" s="32" t="s">
        <v>39</v>
      </c>
      <c r="H1" s="32" t="s">
        <v>14</v>
      </c>
      <c r="I1" s="32" t="s">
        <v>41</v>
      </c>
    </row>
    <row r="2" spans="1:9" x14ac:dyDescent="0.25">
      <c r="A2" s="20">
        <v>1</v>
      </c>
      <c r="B2" s="23">
        <v>42149.697916666664</v>
      </c>
      <c r="C2" s="24">
        <v>23.55121938695865</v>
      </c>
      <c r="D2" s="24">
        <v>2.2219047220805792</v>
      </c>
      <c r="E2" s="24">
        <v>0.37885242441733313</v>
      </c>
      <c r="F2" s="23">
        <v>42264.784722222219</v>
      </c>
      <c r="G2" s="24">
        <v>22.2</v>
      </c>
      <c r="H2" s="24">
        <v>0.1389695854166294</v>
      </c>
      <c r="I2" s="24">
        <v>0.35704720527717515</v>
      </c>
    </row>
    <row r="3" spans="1:9" x14ac:dyDescent="0.25">
      <c r="A3" s="20">
        <v>2</v>
      </c>
      <c r="B3" s="23">
        <v>42149.75</v>
      </c>
      <c r="C3" s="24">
        <v>17.978854839533231</v>
      </c>
      <c r="D3" s="24">
        <v>0.86467938261065225</v>
      </c>
      <c r="E3" s="24">
        <v>0.29135439376587857</v>
      </c>
      <c r="F3" s="23">
        <v>42264.744444444441</v>
      </c>
      <c r="G3" s="24">
        <v>17.989999999999998</v>
      </c>
      <c r="H3" s="24">
        <v>6.6778665338273424E-2</v>
      </c>
      <c r="I3" s="24">
        <v>0.29148775442064379</v>
      </c>
    </row>
    <row r="4" spans="1:9" x14ac:dyDescent="0.25">
      <c r="A4" s="20">
        <v>3</v>
      </c>
      <c r="B4" s="23">
        <v>42149.791666666664</v>
      </c>
      <c r="C4" s="24">
        <v>45.519752102506004</v>
      </c>
      <c r="D4" s="24">
        <v>9.0294509879910567</v>
      </c>
      <c r="E4" s="24">
        <v>0.54778944467007962</v>
      </c>
      <c r="F4" s="23">
        <v>42264.711805555555</v>
      </c>
      <c r="G4" s="24">
        <v>43.12</v>
      </c>
      <c r="H4" s="24">
        <v>1.2692511802127793</v>
      </c>
      <c r="I4" s="24">
        <v>0.51892895487527912</v>
      </c>
    </row>
    <row r="5" spans="1:9" x14ac:dyDescent="0.25">
      <c r="A5" s="20">
        <v>4</v>
      </c>
      <c r="B5" s="23">
        <v>42149.826388888891</v>
      </c>
      <c r="C5" s="24">
        <v>28.769841269841276</v>
      </c>
      <c r="D5" s="24">
        <v>12.232589398252673</v>
      </c>
      <c r="E5" s="24">
        <v>0.34395693764803481</v>
      </c>
      <c r="F5" s="23">
        <v>42264.677083333336</v>
      </c>
      <c r="G5" s="24">
        <v>23.71</v>
      </c>
      <c r="H5" s="24">
        <v>0.4751456636848711</v>
      </c>
      <c r="I5" s="24">
        <v>0.28351896355611816</v>
      </c>
    </row>
    <row r="6" spans="1:9" x14ac:dyDescent="0.25">
      <c r="A6" s="20">
        <v>5</v>
      </c>
      <c r="B6" s="23">
        <v>42149.854166666664</v>
      </c>
      <c r="C6" s="24">
        <v>34.289990325815864</v>
      </c>
      <c r="D6" s="24">
        <v>21.626243574247759</v>
      </c>
      <c r="E6" s="24">
        <v>0.31551597872596232</v>
      </c>
      <c r="F6" s="23">
        <v>42264.625</v>
      </c>
      <c r="G6" s="24">
        <v>21.07</v>
      </c>
      <c r="H6" s="24">
        <v>0.82654300049401896</v>
      </c>
      <c r="I6" s="24">
        <v>0.19384915144933137</v>
      </c>
    </row>
    <row r="7" spans="1:9" x14ac:dyDescent="0.25">
      <c r="A7" s="20">
        <v>6</v>
      </c>
      <c r="B7" s="23">
        <v>42149.881944444445</v>
      </c>
      <c r="C7" s="24">
        <v>25.779914529914532</v>
      </c>
      <c r="D7" s="24">
        <v>15.56307859668294</v>
      </c>
      <c r="E7" s="24">
        <v>0.27921056178034404</v>
      </c>
      <c r="F7" s="23">
        <v>42264.576388888891</v>
      </c>
      <c r="G7" s="24">
        <v>21.97</v>
      </c>
      <c r="H7" s="24">
        <v>1.9534039592863599</v>
      </c>
      <c r="I7" s="24">
        <v>0.23794753682734349</v>
      </c>
    </row>
    <row r="8" spans="1:9" x14ac:dyDescent="0.25">
      <c r="A8" s="20">
        <v>7</v>
      </c>
      <c r="B8" s="23">
        <v>42150.361111111109</v>
      </c>
      <c r="C8" s="24">
        <v>22.31589903721051</v>
      </c>
      <c r="D8" s="24">
        <v>7.9671212262168147</v>
      </c>
      <c r="E8" s="24">
        <v>0.26376260350424469</v>
      </c>
      <c r="F8" s="23">
        <v>42265.645833333336</v>
      </c>
      <c r="G8" s="24">
        <v>12.18</v>
      </c>
      <c r="H8" s="24">
        <v>0.22774238341839034</v>
      </c>
      <c r="I8" s="24">
        <v>0.14392685635027622</v>
      </c>
    </row>
    <row r="9" spans="1:9" x14ac:dyDescent="0.25">
      <c r="A9" s="20">
        <v>8</v>
      </c>
      <c r="B9" s="23">
        <v>42150.385416666664</v>
      </c>
      <c r="C9" s="24">
        <v>34.401759553735239</v>
      </c>
      <c r="D9" s="24">
        <v>16.399002929433561</v>
      </c>
      <c r="E9" s="24">
        <v>0.37217942000018411</v>
      </c>
      <c r="F9" s="23">
        <v>42265.67291666667</v>
      </c>
      <c r="G9" s="24">
        <v>21</v>
      </c>
      <c r="H9" s="24">
        <v>5.6091834773246481E-2</v>
      </c>
      <c r="I9" s="24">
        <v>0.22717435337989683</v>
      </c>
    </row>
    <row r="10" spans="1:9" x14ac:dyDescent="0.25">
      <c r="A10" s="20">
        <v>9</v>
      </c>
      <c r="B10" s="23">
        <v>42150.416666666664</v>
      </c>
      <c r="C10" s="24">
        <v>27.983687809774764</v>
      </c>
      <c r="D10" s="24">
        <v>17.044578133119543</v>
      </c>
      <c r="E10" s="24">
        <v>0.38535629941364385</v>
      </c>
      <c r="F10" s="23">
        <v>42265.711111111108</v>
      </c>
      <c r="G10" s="24">
        <v>17.96</v>
      </c>
      <c r="H10" s="24">
        <v>1.1201311452163976</v>
      </c>
      <c r="I10" s="24">
        <v>0.24726170645284634</v>
      </c>
    </row>
    <row r="11" spans="1:9" x14ac:dyDescent="0.25">
      <c r="A11" s="20">
        <v>10</v>
      </c>
      <c r="B11" s="23">
        <v>42150.444444444445</v>
      </c>
      <c r="C11" s="24">
        <v>21.364804945170878</v>
      </c>
      <c r="D11" s="24">
        <v>1.4795966603920736</v>
      </c>
      <c r="E11" s="24">
        <v>0.30744910200840525</v>
      </c>
      <c r="F11" s="23">
        <v>42265.738194444442</v>
      </c>
      <c r="G11" s="24">
        <v>7.51</v>
      </c>
      <c r="H11" s="24">
        <v>0.47749853928854402</v>
      </c>
      <c r="I11" s="24">
        <v>0.10808734147354784</v>
      </c>
    </row>
    <row r="12" spans="1:9" x14ac:dyDescent="0.25">
      <c r="A12" s="20">
        <v>11</v>
      </c>
      <c r="B12" s="23">
        <v>42150.472222222219</v>
      </c>
      <c r="C12" s="24">
        <v>24.961744354588927</v>
      </c>
      <c r="D12" s="24">
        <v>0.38528515807110764</v>
      </c>
      <c r="E12" s="24">
        <v>0.2965679782003659</v>
      </c>
      <c r="F12" s="23">
        <v>42265.765277777777</v>
      </c>
      <c r="G12" s="24">
        <v>15.03</v>
      </c>
      <c r="H12" s="24">
        <v>1.6340988128902387</v>
      </c>
      <c r="I12" s="24">
        <v>0.17862619791710707</v>
      </c>
    </row>
    <row r="13" spans="1:9" x14ac:dyDescent="0.25">
      <c r="A13" s="20">
        <v>12</v>
      </c>
      <c r="B13" s="23">
        <v>42150.506944444445</v>
      </c>
      <c r="C13" s="24">
        <v>28.253058799277294</v>
      </c>
      <c r="D13" s="24">
        <v>13.605626279812915</v>
      </c>
      <c r="E13" s="24">
        <v>0.28378350360538057</v>
      </c>
      <c r="F13" s="23">
        <v>42265.820833333331</v>
      </c>
      <c r="G13" s="24">
        <v>16.260000000000002</v>
      </c>
      <c r="H13" s="24">
        <v>0.34991347466096145</v>
      </c>
      <c r="I13" s="24">
        <v>0.16331450210866477</v>
      </c>
    </row>
    <row r="14" spans="1:9" x14ac:dyDescent="0.25">
      <c r="A14" s="20">
        <v>40</v>
      </c>
      <c r="B14" s="23">
        <v>42153.833333333336</v>
      </c>
      <c r="C14" s="24">
        <v>12.32770568840521</v>
      </c>
      <c r="D14" s="24">
        <v>8.6751201276861478E-2</v>
      </c>
      <c r="E14" s="24">
        <v>0.17472749835269399</v>
      </c>
      <c r="F14" s="23">
        <v>42272.638888888891</v>
      </c>
      <c r="G14" s="24">
        <v>8.01</v>
      </c>
      <c r="H14" s="24">
        <v>0.34353530167766544</v>
      </c>
      <c r="I14" s="24">
        <v>0.11346515337149413</v>
      </c>
    </row>
    <row r="15" spans="1:9" x14ac:dyDescent="0.25">
      <c r="A15" s="20">
        <v>39</v>
      </c>
      <c r="B15" s="23">
        <v>42153.805555555555</v>
      </c>
      <c r="C15" s="24">
        <v>22.731297084755607</v>
      </c>
      <c r="D15" s="24">
        <v>1.0181579664339622</v>
      </c>
      <c r="E15" s="24">
        <v>0.27255527913220107</v>
      </c>
      <c r="F15" s="23">
        <v>42272.607638888891</v>
      </c>
      <c r="G15" s="24">
        <v>23.13</v>
      </c>
      <c r="H15" s="24">
        <v>5.0002794532865744</v>
      </c>
      <c r="I15" s="24">
        <v>0.27737599250976386</v>
      </c>
    </row>
    <row r="16" spans="1:9" x14ac:dyDescent="0.25">
      <c r="A16" s="20">
        <v>38</v>
      </c>
      <c r="B16" s="23">
        <v>42153.767361111109</v>
      </c>
      <c r="C16" s="24">
        <v>13.841507403739167</v>
      </c>
      <c r="D16" s="24">
        <v>3.3980982827762447</v>
      </c>
      <c r="E16" s="24">
        <v>0.20693546827900797</v>
      </c>
      <c r="F16" s="23">
        <v>42272.569444444445</v>
      </c>
      <c r="G16" s="24">
        <v>9.82</v>
      </c>
      <c r="H16" s="24">
        <v>6.0432162963807413E-2</v>
      </c>
      <c r="I16" s="24">
        <v>0.1468634518281802</v>
      </c>
    </row>
    <row r="17" spans="1:9" x14ac:dyDescent="0.25">
      <c r="A17" s="20">
        <v>37</v>
      </c>
      <c r="B17" s="23">
        <v>42153.722222222219</v>
      </c>
      <c r="C17" s="24">
        <v>25.376481315409382</v>
      </c>
      <c r="D17" s="24">
        <v>1.3093173421846198</v>
      </c>
      <c r="E17" s="24">
        <v>0.24548450929947113</v>
      </c>
      <c r="F17" s="23">
        <v>42272.493055555555</v>
      </c>
      <c r="G17" s="24">
        <v>13.46</v>
      </c>
      <c r="H17" s="24">
        <v>6.7593302722477384</v>
      </c>
      <c r="I17" s="24">
        <v>0.13022584428147105</v>
      </c>
    </row>
    <row r="18" spans="1:9" x14ac:dyDescent="0.25">
      <c r="A18" s="20">
        <v>36</v>
      </c>
      <c r="B18" s="23">
        <v>42153.684027777781</v>
      </c>
      <c r="C18" s="24">
        <v>13.147701932015915</v>
      </c>
      <c r="D18" s="24">
        <v>1.0319198136347234</v>
      </c>
      <c r="E18" s="24">
        <v>0.1802202392303518</v>
      </c>
      <c r="F18" s="23">
        <v>42272.447916666664</v>
      </c>
      <c r="G18" s="24">
        <v>12.62</v>
      </c>
      <c r="H18" s="24">
        <v>0.67076693343335625</v>
      </c>
      <c r="I18" s="24">
        <v>0.17292839290697345</v>
      </c>
    </row>
    <row r="19" spans="1:9" x14ac:dyDescent="0.25">
      <c r="A19" s="20">
        <v>35</v>
      </c>
      <c r="B19" s="23">
        <v>42153.583333333336</v>
      </c>
      <c r="C19" s="24">
        <v>14.353703454512777</v>
      </c>
      <c r="D19" s="24">
        <v>1.3500637568148708</v>
      </c>
      <c r="E19" s="24">
        <v>0.21373372962822743</v>
      </c>
      <c r="F19" s="23">
        <v>42271.775000000001</v>
      </c>
      <c r="G19" s="24">
        <v>18.989999999999998</v>
      </c>
      <c r="H19" s="24">
        <v>0.50458837438703896</v>
      </c>
      <c r="I19" s="24">
        <v>0.28280994157805972</v>
      </c>
    </row>
    <row r="20" spans="1:9" x14ac:dyDescent="0.25">
      <c r="A20" s="20">
        <v>34</v>
      </c>
      <c r="B20" s="23">
        <v>42153.552083333336</v>
      </c>
      <c r="C20" s="24">
        <v>10.409000141971735</v>
      </c>
      <c r="D20" s="24">
        <v>2.6640769009614917</v>
      </c>
      <c r="E20" s="24">
        <v>0.17089535197149591</v>
      </c>
      <c r="F20" s="23">
        <v>42271.743055555555</v>
      </c>
      <c r="G20" s="24">
        <v>10.49</v>
      </c>
      <c r="H20" s="24">
        <v>0.50936788243167819</v>
      </c>
      <c r="I20" s="24">
        <v>0.17220331789881896</v>
      </c>
    </row>
    <row r="21" spans="1:9" x14ac:dyDescent="0.25">
      <c r="A21" s="20">
        <v>33</v>
      </c>
      <c r="B21" s="23">
        <v>42153.493055555555</v>
      </c>
      <c r="C21" s="24">
        <v>9.8410397732307882</v>
      </c>
      <c r="D21" s="24">
        <v>0.6945299173874615</v>
      </c>
      <c r="E21" s="24">
        <v>0.15094503736046358</v>
      </c>
      <c r="F21" s="23">
        <v>42271.715277777781</v>
      </c>
      <c r="G21" s="24">
        <v>10.5</v>
      </c>
      <c r="H21" s="24">
        <v>0.68451976546588444</v>
      </c>
      <c r="I21" s="24">
        <v>0.16103814406900271</v>
      </c>
    </row>
    <row r="22" spans="1:9" x14ac:dyDescent="0.25">
      <c r="A22" s="20">
        <v>32</v>
      </c>
      <c r="B22" s="23">
        <v>42153.458333333336</v>
      </c>
      <c r="C22" s="24">
        <v>6.018652909169016</v>
      </c>
      <c r="D22" s="24">
        <v>0.76569615698807236</v>
      </c>
      <c r="E22" s="24">
        <v>0.10032931881235115</v>
      </c>
      <c r="F22" s="23">
        <v>42271.681944444441</v>
      </c>
      <c r="G22" s="24">
        <v>6.28</v>
      </c>
      <c r="H22" s="24">
        <v>0.92154370260834506</v>
      </c>
      <c r="I22" s="24">
        <v>0.10468809147445492</v>
      </c>
    </row>
    <row r="23" spans="1:9" x14ac:dyDescent="0.25">
      <c r="A23" s="20">
        <v>31</v>
      </c>
      <c r="B23" s="23">
        <v>42153.423611111109</v>
      </c>
      <c r="C23" s="24">
        <v>3.7544777044383331</v>
      </c>
      <c r="D23" s="24">
        <v>0.1038344325151096</v>
      </c>
      <c r="E23" s="24">
        <v>6.6859537878663153E-2</v>
      </c>
      <c r="F23" s="23">
        <v>42271.645833333336</v>
      </c>
      <c r="G23" s="24">
        <v>5.26</v>
      </c>
      <c r="H23" s="24">
        <v>4.7558075309466707E-2</v>
      </c>
      <c r="I23" s="24">
        <v>9.3734386037157794E-2</v>
      </c>
    </row>
    <row r="24" spans="1:9" x14ac:dyDescent="0.25">
      <c r="A24" s="20">
        <v>30</v>
      </c>
      <c r="B24" s="23">
        <v>42153.395833333336</v>
      </c>
      <c r="C24" s="24">
        <v>5.5595635388609486</v>
      </c>
      <c r="D24" s="24">
        <v>0.61839820790199207</v>
      </c>
      <c r="E24" s="24">
        <v>9.2115428836801794E-2</v>
      </c>
      <c r="F24" s="23">
        <v>42271.611111111109</v>
      </c>
      <c r="G24" s="24">
        <v>9.68</v>
      </c>
      <c r="H24" s="24">
        <v>3.5860186692299294</v>
      </c>
      <c r="I24" s="24">
        <v>0.16041697414236461</v>
      </c>
    </row>
    <row r="25" spans="1:9" x14ac:dyDescent="0.25">
      <c r="A25" s="20">
        <v>29</v>
      </c>
      <c r="B25" s="23">
        <v>42153.364583333336</v>
      </c>
      <c r="C25" s="24">
        <v>3.9408823728247349</v>
      </c>
      <c r="D25" s="24">
        <v>9.8814564531119142E-2</v>
      </c>
      <c r="E25" s="24">
        <v>6.6549260814669053E-2</v>
      </c>
      <c r="F25" s="23">
        <v>42271.579861111109</v>
      </c>
      <c r="G25" s="24">
        <v>3.24</v>
      </c>
      <c r="H25" s="24">
        <v>0.23829624480852951</v>
      </c>
      <c r="I25" s="24">
        <v>5.466240433554502E-2</v>
      </c>
    </row>
    <row r="26" spans="1:9" x14ac:dyDescent="0.25">
      <c r="A26" s="20">
        <v>28</v>
      </c>
      <c r="B26" s="23">
        <v>42152.895833333336</v>
      </c>
      <c r="C26" s="24">
        <v>3.9793937887004778</v>
      </c>
      <c r="D26" s="24">
        <v>0.44724412185503376</v>
      </c>
      <c r="E26" s="24">
        <v>6.9987583616192464E-2</v>
      </c>
      <c r="F26" s="23">
        <v>42271.527777777781</v>
      </c>
      <c r="G26" s="24">
        <v>2.69</v>
      </c>
      <c r="H26" s="24">
        <v>0.54288103262776044</v>
      </c>
      <c r="I26" s="24">
        <v>4.7363533459934125E-2</v>
      </c>
    </row>
    <row r="27" spans="1:9" s="12" customFormat="1" x14ac:dyDescent="0.25">
      <c r="A27" s="20">
        <v>27</v>
      </c>
      <c r="B27" s="23">
        <v>42152.875</v>
      </c>
      <c r="C27" s="25">
        <v>3.4458038981623047</v>
      </c>
      <c r="D27" s="25">
        <v>1.0887336392227185</v>
      </c>
      <c r="E27" s="25">
        <v>6.1349806569622668E-2</v>
      </c>
      <c r="F27" s="23">
        <v>42271.503472222219</v>
      </c>
      <c r="G27" s="25">
        <v>5.04</v>
      </c>
      <c r="H27" s="25">
        <v>4.5209715697228887</v>
      </c>
      <c r="I27" s="25">
        <v>8.9762057732718031E-2</v>
      </c>
    </row>
    <row r="28" spans="1:9" x14ac:dyDescent="0.25">
      <c r="A28" s="20">
        <v>26</v>
      </c>
      <c r="B28" s="23">
        <v>42152.840277777781</v>
      </c>
      <c r="C28" s="24">
        <v>9.1169972616524575</v>
      </c>
      <c r="D28" s="24">
        <v>1.7786877961186605</v>
      </c>
      <c r="E28" s="24">
        <v>0.13805928816641894</v>
      </c>
      <c r="F28" s="23">
        <v>42271.46875</v>
      </c>
      <c r="G28" s="24">
        <v>5.68</v>
      </c>
      <c r="H28" s="24">
        <v>1.5456866417080304</v>
      </c>
      <c r="I28" s="24">
        <v>8.6002298652001305E-2</v>
      </c>
    </row>
    <row r="29" spans="1:9" x14ac:dyDescent="0.25">
      <c r="A29" s="20">
        <v>25</v>
      </c>
      <c r="B29" s="23">
        <v>42152.791666666664</v>
      </c>
      <c r="C29" s="24">
        <v>8.2373839028290359</v>
      </c>
      <c r="D29" s="24">
        <v>0.27367956925500297</v>
      </c>
      <c r="E29" s="24">
        <v>0.11513482123818122</v>
      </c>
      <c r="F29" s="23">
        <v>42270.881944444445</v>
      </c>
      <c r="G29" s="24">
        <v>11.45</v>
      </c>
      <c r="H29" s="24">
        <v>2.931947737615562</v>
      </c>
      <c r="I29" s="24">
        <v>0.15997041452995966</v>
      </c>
    </row>
    <row r="30" spans="1:9" x14ac:dyDescent="0.25">
      <c r="A30" s="20">
        <v>24</v>
      </c>
      <c r="B30" s="23">
        <v>42152.756944444445</v>
      </c>
      <c r="C30" s="24">
        <v>3.2120329519687467</v>
      </c>
      <c r="D30" s="24">
        <v>1.2246507160878719</v>
      </c>
      <c r="E30" s="24">
        <v>5.8974245034535661E-2</v>
      </c>
      <c r="F30" s="23">
        <v>42270.847222222219</v>
      </c>
      <c r="G30" s="24">
        <v>4.53</v>
      </c>
      <c r="H30" s="24">
        <v>0.35081525588641382</v>
      </c>
      <c r="I30" s="24">
        <v>8.3089689736417852E-2</v>
      </c>
    </row>
    <row r="31" spans="1:9" x14ac:dyDescent="0.25">
      <c r="A31" s="20">
        <v>23</v>
      </c>
      <c r="B31" s="23">
        <v>42152.722222222219</v>
      </c>
      <c r="C31" s="24">
        <v>3.3131253046274183</v>
      </c>
      <c r="D31" s="24">
        <v>0.41294626448415145</v>
      </c>
      <c r="E31" s="24">
        <v>5.6373619513822137E-2</v>
      </c>
      <c r="F31" s="23">
        <v>42270.808333333334</v>
      </c>
      <c r="G31" s="24">
        <v>4.62</v>
      </c>
      <c r="H31" s="24">
        <v>0.46388407873265874</v>
      </c>
      <c r="I31" s="24">
        <v>7.8642715390194587E-2</v>
      </c>
    </row>
    <row r="32" spans="1:9" x14ac:dyDescent="0.25">
      <c r="A32" s="20">
        <v>22</v>
      </c>
      <c r="B32" s="23">
        <v>42152.680555555555</v>
      </c>
      <c r="C32" s="24">
        <v>4.2195921771069882</v>
      </c>
      <c r="D32" s="24">
        <v>0.91445233299375328</v>
      </c>
      <c r="E32" s="24">
        <v>6.6345933447126165E-2</v>
      </c>
      <c r="F32" s="23">
        <v>42270.755555555559</v>
      </c>
      <c r="G32" s="24">
        <v>4.46</v>
      </c>
      <c r="H32" s="24">
        <v>0.17631505034442413</v>
      </c>
      <c r="I32" s="24">
        <v>7.0175897742705468E-2</v>
      </c>
    </row>
    <row r="33" spans="1:9" x14ac:dyDescent="0.25">
      <c r="A33" s="20">
        <v>21</v>
      </c>
      <c r="B33" s="23">
        <v>42152.645833333336</v>
      </c>
      <c r="C33" s="24">
        <v>2.0168417090103681</v>
      </c>
      <c r="D33" s="24">
        <v>0.18737206804243167</v>
      </c>
      <c r="E33" s="24">
        <v>3.3884552979188194E-2</v>
      </c>
      <c r="F33" s="23">
        <v>42270.722222222219</v>
      </c>
      <c r="G33" s="24">
        <v>7.1</v>
      </c>
      <c r="H33" s="24">
        <v>0.14916139290809624</v>
      </c>
      <c r="I33" s="24">
        <v>0.11933154247151342</v>
      </c>
    </row>
    <row r="34" spans="1:9" x14ac:dyDescent="0.25">
      <c r="A34" s="20">
        <v>20</v>
      </c>
      <c r="B34" s="23">
        <v>42152.625</v>
      </c>
      <c r="C34" s="24">
        <v>13.629891977889777</v>
      </c>
      <c r="D34" s="24">
        <v>0.35032581888371506</v>
      </c>
      <c r="E34" s="24">
        <v>0.20754401155714364</v>
      </c>
      <c r="F34" s="23">
        <v>42270.684027777781</v>
      </c>
      <c r="G34" s="24">
        <v>9.4600000000000009</v>
      </c>
      <c r="H34" s="24">
        <v>0.343976200212395</v>
      </c>
      <c r="I34" s="24">
        <v>0.14411366907828718</v>
      </c>
    </row>
    <row r="35" spans="1:9" x14ac:dyDescent="0.25">
      <c r="A35" s="20">
        <v>19</v>
      </c>
      <c r="B35" s="23">
        <v>42152.583333333336</v>
      </c>
      <c r="C35" s="24">
        <v>14.181737246167026</v>
      </c>
      <c r="D35" s="24">
        <v>4.1486788998378259</v>
      </c>
      <c r="E35" s="24">
        <v>0.17904982655355503</v>
      </c>
      <c r="F35" s="23">
        <v>42270.648611111108</v>
      </c>
      <c r="G35" s="24">
        <v>14.52</v>
      </c>
      <c r="H35" s="24">
        <v>3.2418874056893192</v>
      </c>
      <c r="I35" s="24">
        <v>0.1832754151118601</v>
      </c>
    </row>
    <row r="36" spans="1:9" x14ac:dyDescent="0.25">
      <c r="A36" s="20">
        <v>18</v>
      </c>
      <c r="B36" s="23">
        <v>42152.5</v>
      </c>
      <c r="C36" s="24">
        <v>3.2534795821891129</v>
      </c>
      <c r="D36" s="24">
        <v>2.818499005771915</v>
      </c>
      <c r="E36" s="24">
        <v>4.4574223312578543E-2</v>
      </c>
      <c r="F36" s="23">
        <v>42270.573611111111</v>
      </c>
      <c r="G36" s="24">
        <v>9.01</v>
      </c>
      <c r="H36" s="24">
        <v>0.30393636943059821</v>
      </c>
      <c r="I36" s="24">
        <v>0.1234153967224247</v>
      </c>
    </row>
    <row r="37" spans="1:9" x14ac:dyDescent="0.25">
      <c r="A37" s="20">
        <v>17</v>
      </c>
      <c r="B37" s="23">
        <v>42152.465277777781</v>
      </c>
      <c r="C37" s="24">
        <v>9.6568717218256701</v>
      </c>
      <c r="D37" s="24">
        <v>0.30283512939931168</v>
      </c>
      <c r="E37" s="24">
        <v>0.12977736432485379</v>
      </c>
      <c r="F37" s="23">
        <v>42270.538888888892</v>
      </c>
      <c r="G37" s="24">
        <v>13.47</v>
      </c>
      <c r="H37" s="24">
        <v>5.7418528573181682</v>
      </c>
      <c r="I37" s="24">
        <v>0.18096610857749937</v>
      </c>
    </row>
    <row r="38" spans="1:9" x14ac:dyDescent="0.25">
      <c r="A38" s="20">
        <v>16</v>
      </c>
      <c r="B38" s="23">
        <v>42152.4375</v>
      </c>
      <c r="C38" s="24">
        <v>11.052577075615716</v>
      </c>
      <c r="D38" s="24">
        <v>0.75682491355799597</v>
      </c>
      <c r="E38" s="24">
        <v>0.14964762639042808</v>
      </c>
      <c r="F38" s="23">
        <v>42270.513888888891</v>
      </c>
      <c r="G38" s="24">
        <v>17.25</v>
      </c>
      <c r="H38" s="24">
        <v>5.9100814076300621</v>
      </c>
      <c r="I38" s="24">
        <v>0.23350823214787972</v>
      </c>
    </row>
    <row r="39" spans="1:9" x14ac:dyDescent="0.25">
      <c r="A39" s="20">
        <v>15</v>
      </c>
      <c r="B39" s="23">
        <v>42152.40625</v>
      </c>
      <c r="C39" s="24">
        <v>6.4419735704144907</v>
      </c>
      <c r="D39" s="24">
        <v>0.33132804581237779</v>
      </c>
      <c r="E39" s="24">
        <v>9.2490239201709831E-2</v>
      </c>
      <c r="F39" s="23">
        <v>42270.479166666664</v>
      </c>
      <c r="G39" s="24">
        <v>6.27</v>
      </c>
      <c r="H39" s="24">
        <v>0.29126935567459472</v>
      </c>
      <c r="I39" s="24">
        <v>9.0052407896654224E-2</v>
      </c>
    </row>
    <row r="40" spans="1:9" x14ac:dyDescent="0.25">
      <c r="A40" s="20">
        <v>14</v>
      </c>
      <c r="B40" s="23">
        <v>42152.381944444445</v>
      </c>
      <c r="C40" s="24">
        <v>5.1427367234646821</v>
      </c>
      <c r="D40" s="24">
        <v>0.19940960493566731</v>
      </c>
      <c r="E40" s="24">
        <v>7.8526922395951715E-2</v>
      </c>
      <c r="F40" s="23">
        <v>42270.447222222225</v>
      </c>
      <c r="G40" s="24">
        <v>5.59</v>
      </c>
      <c r="H40" s="24">
        <v>0.21477958569299585</v>
      </c>
      <c r="I40" s="24">
        <v>8.5289748223824E-2</v>
      </c>
    </row>
    <row r="41" spans="1:9" x14ac:dyDescent="0.25">
      <c r="A41" s="20">
        <v>13</v>
      </c>
      <c r="B41" s="23">
        <v>42152.326388888891</v>
      </c>
      <c r="C41" s="24">
        <v>7.2094267178722236</v>
      </c>
      <c r="D41" s="24">
        <v>1.017418459212901</v>
      </c>
      <c r="E41" s="24">
        <v>0.10565299905729274</v>
      </c>
      <c r="F41" s="23">
        <v>42270.416666666664</v>
      </c>
      <c r="G41" s="24">
        <v>10.92</v>
      </c>
      <c r="H41" s="24">
        <v>1.1495757789026382</v>
      </c>
      <c r="I41" s="24">
        <v>0.16006726190243323</v>
      </c>
    </row>
  </sheetData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1"/>
  <sheetViews>
    <sheetView zoomScale="70" zoomScaleNormal="70" workbookViewId="0">
      <selection activeCell="G22" sqref="G22"/>
    </sheetView>
  </sheetViews>
  <sheetFormatPr defaultRowHeight="15" x14ac:dyDescent="0.25"/>
  <cols>
    <col min="1" max="1" width="20" style="1" customWidth="1"/>
    <col min="2" max="2" width="18.28515625" style="1" customWidth="1"/>
    <col min="3" max="3" width="22.28515625" style="1" customWidth="1"/>
    <col min="4" max="4" width="15.5703125" style="1" customWidth="1"/>
    <col min="5" max="5" width="18.5703125" style="1" customWidth="1"/>
    <col min="6" max="6" width="14.5703125" style="1" customWidth="1"/>
    <col min="7" max="7" width="17.7109375" style="1" customWidth="1"/>
    <col min="8" max="8" width="16" style="1" customWidth="1"/>
    <col min="9" max="9" width="21.85546875" style="1" customWidth="1"/>
    <col min="10" max="16384" width="9.140625" style="1"/>
  </cols>
  <sheetData>
    <row r="1" spans="1:9" x14ac:dyDescent="0.25">
      <c r="A1" s="34" t="s">
        <v>8</v>
      </c>
      <c r="B1" s="35" t="s">
        <v>0</v>
      </c>
      <c r="C1" s="35" t="s">
        <v>1</v>
      </c>
      <c r="D1" s="35" t="s">
        <v>2</v>
      </c>
      <c r="E1" s="35" t="s">
        <v>3</v>
      </c>
      <c r="F1" s="35" t="s">
        <v>4</v>
      </c>
      <c r="G1" s="35" t="s">
        <v>5</v>
      </c>
      <c r="H1" s="35" t="s">
        <v>6</v>
      </c>
      <c r="I1" s="35" t="s">
        <v>7</v>
      </c>
    </row>
    <row r="2" spans="1:9" x14ac:dyDescent="0.25">
      <c r="A2" s="2">
        <v>1</v>
      </c>
      <c r="B2" s="4">
        <v>7.1466666666666701</v>
      </c>
      <c r="C2" s="5">
        <v>0.14000000000000001</v>
      </c>
      <c r="D2" s="7">
        <v>6.9933333333333332</v>
      </c>
      <c r="E2" s="8">
        <v>3.5118845842842597E-2</v>
      </c>
      <c r="F2" s="6">
        <v>7.1133333333333333</v>
      </c>
      <c r="G2" s="6">
        <v>6.8068592855540844E-2</v>
      </c>
      <c r="H2" s="7">
        <v>7.07</v>
      </c>
      <c r="I2" s="9">
        <v>3.6055512754640112E-2</v>
      </c>
    </row>
    <row r="3" spans="1:9" x14ac:dyDescent="0.25">
      <c r="A3" s="2">
        <v>2</v>
      </c>
      <c r="B3" s="4">
        <v>6.5733333333333333</v>
      </c>
      <c r="C3" s="4">
        <v>0.47353282181211559</v>
      </c>
      <c r="D3" s="7">
        <v>6.41</v>
      </c>
      <c r="E3" s="8">
        <v>9.1651513899048756E-2</v>
      </c>
      <c r="F3" s="6">
        <v>6.04</v>
      </c>
      <c r="G3" s="6">
        <v>0.10000000000002558</v>
      </c>
      <c r="H3" s="7">
        <v>6.38</v>
      </c>
      <c r="I3" s="9">
        <v>7.0000000000000034E-2</v>
      </c>
    </row>
    <row r="4" spans="1:9" x14ac:dyDescent="0.25">
      <c r="A4" s="2">
        <v>3</v>
      </c>
      <c r="B4" s="4">
        <v>6.5866666666666696</v>
      </c>
      <c r="C4" s="4">
        <v>0.19731531449268405</v>
      </c>
      <c r="D4" s="7">
        <v>6.9766666666666666</v>
      </c>
      <c r="E4" s="8">
        <v>5.1316014394468729E-2</v>
      </c>
      <c r="F4" s="6">
        <v>6.19</v>
      </c>
      <c r="G4" s="6">
        <v>4.3588989435406823E-2</v>
      </c>
      <c r="H4" s="7">
        <v>6.9333333333333336</v>
      </c>
      <c r="I4" s="9">
        <v>2.5166114784235766E-2</v>
      </c>
    </row>
    <row r="5" spans="1:9" x14ac:dyDescent="0.25">
      <c r="A5" s="2">
        <v>4</v>
      </c>
      <c r="B5" s="4">
        <v>7.3633333333333333</v>
      </c>
      <c r="C5" s="4">
        <v>0.18175074506950853</v>
      </c>
      <c r="D5" s="7">
        <v>7.6933333333333342</v>
      </c>
      <c r="E5" s="8">
        <v>5.7735026918961348E-3</v>
      </c>
      <c r="F5" s="6">
        <v>7.330000000000001</v>
      </c>
      <c r="G5" s="6">
        <v>6.2449979983984001E-2</v>
      </c>
      <c r="H5" s="7">
        <v>7.64</v>
      </c>
      <c r="I5" s="9">
        <v>1.0000000000000231E-2</v>
      </c>
    </row>
    <row r="6" spans="1:9" x14ac:dyDescent="0.25">
      <c r="A6" s="2">
        <v>5</v>
      </c>
      <c r="B6" s="4">
        <v>8.7000000000000011</v>
      </c>
      <c r="C6" s="4">
        <v>0.21517434791347229</v>
      </c>
      <c r="D6" s="7">
        <v>7.580000000000001</v>
      </c>
      <c r="E6" s="8">
        <v>9.5393920141713759E-2</v>
      </c>
      <c r="F6" s="6">
        <v>8.57</v>
      </c>
      <c r="G6" s="6">
        <v>0.12489995996787931</v>
      </c>
      <c r="H6" s="7">
        <v>7.4466666666666663</v>
      </c>
      <c r="I6" s="9">
        <v>3.7859388972002035E-2</v>
      </c>
    </row>
    <row r="7" spans="1:9" x14ac:dyDescent="0.25">
      <c r="A7" s="2">
        <v>6</v>
      </c>
      <c r="B7" s="4">
        <v>6.9866666666666672</v>
      </c>
      <c r="C7" s="4">
        <v>0.32347076117220414</v>
      </c>
      <c r="D7" s="7">
        <v>7.0100000000000007</v>
      </c>
      <c r="E7" s="8">
        <v>3.4641016151377831E-2</v>
      </c>
      <c r="F7" s="6">
        <v>6.5733333333333333</v>
      </c>
      <c r="G7" s="6">
        <v>5.5075705472861163E-2</v>
      </c>
      <c r="H7" s="7">
        <v>7.3666666666666671</v>
      </c>
      <c r="I7" s="9">
        <v>1.154700538379227E-2</v>
      </c>
    </row>
    <row r="8" spans="1:9" x14ac:dyDescent="0.25">
      <c r="A8" s="2">
        <v>7</v>
      </c>
      <c r="B8" s="4">
        <v>6.18</v>
      </c>
      <c r="C8" s="4">
        <v>5.2915026221292023E-2</v>
      </c>
      <c r="D8" s="7">
        <v>5.9233333333333329</v>
      </c>
      <c r="E8" s="8">
        <v>0.24826061575153838</v>
      </c>
      <c r="F8" s="6">
        <v>6.0166666666666657</v>
      </c>
      <c r="G8" s="6">
        <v>3.7859388972001522E-2</v>
      </c>
      <c r="H8" s="7">
        <v>5.7633333333333328</v>
      </c>
      <c r="I8" s="9">
        <v>2.3094010767585053E-2</v>
      </c>
    </row>
    <row r="9" spans="1:9" x14ac:dyDescent="0.25">
      <c r="A9" s="2">
        <v>8</v>
      </c>
      <c r="B9" s="4">
        <v>7.996666666666667</v>
      </c>
      <c r="C9" s="4">
        <v>0.42158431343363278</v>
      </c>
      <c r="D9" s="7">
        <v>7</v>
      </c>
      <c r="E9" s="8">
        <v>2.6457513110645845E-2</v>
      </c>
      <c r="F9" s="6">
        <v>7.9699999999999989</v>
      </c>
      <c r="G9" s="6">
        <v>0.10440306508920504</v>
      </c>
      <c r="H9" s="7">
        <v>7.2399999999999993</v>
      </c>
      <c r="I9" s="9">
        <v>4.5825756949558295E-2</v>
      </c>
    </row>
    <row r="10" spans="1:9" x14ac:dyDescent="0.25">
      <c r="A10" s="2">
        <v>9</v>
      </c>
      <c r="B10" s="4">
        <v>8.9933333333333323</v>
      </c>
      <c r="C10" s="4">
        <v>0.22722969289540901</v>
      </c>
      <c r="D10" s="7">
        <v>6.1233333333333322</v>
      </c>
      <c r="E10" s="8">
        <v>3.2145502536643326E-2</v>
      </c>
      <c r="F10" s="6">
        <v>8.5233333333333334</v>
      </c>
      <c r="G10" s="6">
        <v>0.16072751268314284</v>
      </c>
      <c r="H10" s="7">
        <v>6.333333333333333</v>
      </c>
      <c r="I10" s="9">
        <v>2.0816659994661382E-2</v>
      </c>
    </row>
    <row r="11" spans="1:9" x14ac:dyDescent="0.25">
      <c r="A11" s="2">
        <v>10</v>
      </c>
      <c r="B11" s="4">
        <v>4.6000000000000005</v>
      </c>
      <c r="C11" s="4">
        <v>0.19467922333930998</v>
      </c>
      <c r="D11" s="7">
        <v>5.9533333333333331</v>
      </c>
      <c r="E11" s="8">
        <v>0.16563010998404676</v>
      </c>
      <c r="F11" s="6">
        <v>4.126666666666666</v>
      </c>
      <c r="G11" s="6">
        <v>8.1445278152492195E-2</v>
      </c>
      <c r="H11" s="7">
        <v>5.3233333333333333</v>
      </c>
      <c r="I11" s="9">
        <v>4.5092497528228866E-2</v>
      </c>
    </row>
    <row r="12" spans="1:9" x14ac:dyDescent="0.25">
      <c r="A12" s="2">
        <v>11</v>
      </c>
      <c r="B12" s="4">
        <v>7.87</v>
      </c>
      <c r="C12" s="4">
        <v>0.54369108876273431</v>
      </c>
      <c r="D12" s="7">
        <v>7.1133333333333333</v>
      </c>
      <c r="E12" s="8">
        <v>3.5118845842842597E-2</v>
      </c>
      <c r="F12" s="6">
        <v>7.8666666666666671</v>
      </c>
      <c r="G12" s="6">
        <v>0.17559422921421339</v>
      </c>
      <c r="H12" s="7">
        <v>7.4566666666666661</v>
      </c>
      <c r="I12" s="9">
        <v>6.0277137733416683E-2</v>
      </c>
    </row>
    <row r="13" spans="1:9" x14ac:dyDescent="0.25">
      <c r="A13" s="2">
        <v>12</v>
      </c>
      <c r="B13" s="4">
        <v>8.3833333333333346</v>
      </c>
      <c r="C13" s="4">
        <v>0.11930353445438426</v>
      </c>
      <c r="D13" s="7">
        <v>6.9966666666666661</v>
      </c>
      <c r="E13" s="8">
        <v>3.2145502536643007E-2</v>
      </c>
      <c r="F13" s="6">
        <v>7.9533333333333331</v>
      </c>
      <c r="G13" s="6">
        <v>0.12096831541083782</v>
      </c>
      <c r="H13" s="7">
        <v>7.53</v>
      </c>
      <c r="I13" s="9">
        <v>3.6055512754639613E-2</v>
      </c>
    </row>
    <row r="14" spans="1:9" x14ac:dyDescent="0.25">
      <c r="A14" s="2">
        <v>40</v>
      </c>
      <c r="B14" s="4">
        <v>6.746666666666667</v>
      </c>
      <c r="C14" s="4">
        <v>4.5092497528228866E-2</v>
      </c>
      <c r="D14" s="7">
        <v>6.9333333333333336</v>
      </c>
      <c r="E14" s="8">
        <v>5.7735026918966474E-3</v>
      </c>
      <c r="F14" s="6">
        <v>7.1266666666666678</v>
      </c>
      <c r="G14" s="6">
        <v>3.0550504633039155E-2</v>
      </c>
      <c r="H14" s="7">
        <v>7.34</v>
      </c>
      <c r="I14" s="9">
        <v>5.291502622129169E-2</v>
      </c>
    </row>
    <row r="15" spans="1:9" x14ac:dyDescent="0.25">
      <c r="A15" s="2">
        <v>39</v>
      </c>
      <c r="B15" s="4">
        <v>6.9466666666666699</v>
      </c>
      <c r="C15" s="4">
        <v>3.7859388972002E-2</v>
      </c>
      <c r="D15" s="7">
        <v>7.16</v>
      </c>
      <c r="E15" s="8">
        <v>3.4641016151377831E-2</v>
      </c>
      <c r="F15" s="6">
        <v>7.6333333333333329</v>
      </c>
      <c r="G15" s="6">
        <v>1.154700538379227E-2</v>
      </c>
      <c r="H15" s="7">
        <v>7.6933333333333325</v>
      </c>
      <c r="I15" s="9">
        <v>2.5166114784235707E-2</v>
      </c>
    </row>
    <row r="16" spans="1:9" x14ac:dyDescent="0.25">
      <c r="A16" s="2">
        <v>38</v>
      </c>
      <c r="B16" s="4">
        <v>6.5200000000000005</v>
      </c>
      <c r="C16" s="4">
        <v>5.567764362830039E-2</v>
      </c>
      <c r="D16" s="7">
        <v>6.4866666666666672</v>
      </c>
      <c r="E16" s="8">
        <v>9.0737717258675452E-2</v>
      </c>
      <c r="F16" s="6">
        <v>6.8066666666666675</v>
      </c>
      <c r="G16" s="6">
        <v>1.1547005383792781E-2</v>
      </c>
      <c r="H16" s="7">
        <v>6.5133333333333328</v>
      </c>
      <c r="I16" s="9">
        <v>2.5166114784235766E-2</v>
      </c>
    </row>
    <row r="17" spans="1:9" x14ac:dyDescent="0.25">
      <c r="A17" s="2">
        <v>37</v>
      </c>
      <c r="B17" s="4">
        <v>7.0100000000000007</v>
      </c>
      <c r="C17" s="4">
        <v>9.6436507609835589E-2</v>
      </c>
      <c r="D17" s="7">
        <v>7.19</v>
      </c>
      <c r="E17" s="8">
        <v>6.0827625302981927E-2</v>
      </c>
      <c r="F17" s="6">
        <v>7.4433333333333342</v>
      </c>
      <c r="G17" s="6">
        <v>3.5118845842842597E-2</v>
      </c>
      <c r="H17" s="7">
        <v>7.4366666666666665</v>
      </c>
      <c r="I17" s="9">
        <v>6.6583281184793813E-2</v>
      </c>
    </row>
    <row r="18" spans="1:9" x14ac:dyDescent="0.25">
      <c r="A18" s="2">
        <v>36</v>
      </c>
      <c r="B18" s="9">
        <v>6.7833333333333341</v>
      </c>
      <c r="C18" s="9">
        <v>9.5043849529154539E-2</v>
      </c>
      <c r="D18" s="7">
        <v>7.4833333333333334</v>
      </c>
      <c r="E18" s="8">
        <v>6.6583281184793536E-2</v>
      </c>
      <c r="F18" s="6">
        <v>7.3166666666666664</v>
      </c>
      <c r="G18" s="6">
        <v>5.7735026918966474E-3</v>
      </c>
      <c r="H18" s="7">
        <v>7.2633333333333328</v>
      </c>
      <c r="I18" s="9">
        <v>8.3864970836061092E-2</v>
      </c>
    </row>
    <row r="19" spans="1:9" x14ac:dyDescent="0.25">
      <c r="A19" s="2">
        <v>35</v>
      </c>
      <c r="B19" s="4">
        <v>6.3266666666666671</v>
      </c>
      <c r="C19" s="4">
        <v>0.11590225767135609</v>
      </c>
      <c r="D19" s="7">
        <v>6.56</v>
      </c>
      <c r="E19" s="8">
        <v>6.0827625302981921E-2</v>
      </c>
      <c r="F19" s="6">
        <v>6.4466666666666663</v>
      </c>
      <c r="G19" s="6">
        <v>1.5275252316519626E-2</v>
      </c>
      <c r="H19" s="7">
        <v>6.3</v>
      </c>
      <c r="I19" s="9">
        <v>3.4641016151377831E-2</v>
      </c>
    </row>
    <row r="20" spans="1:9" x14ac:dyDescent="0.25">
      <c r="A20" s="2">
        <v>34</v>
      </c>
      <c r="B20" s="4">
        <v>6.4933333333333332</v>
      </c>
      <c r="C20" s="4">
        <v>9.2915732431712028E-2</v>
      </c>
      <c r="D20" s="7">
        <v>7.086666666666666</v>
      </c>
      <c r="E20" s="8">
        <v>0.19139836293279971</v>
      </c>
      <c r="F20" s="6">
        <v>6.8066666666666675</v>
      </c>
      <c r="G20" s="6">
        <v>2.0816659994661382E-2</v>
      </c>
      <c r="H20" s="7">
        <v>6.9066666666666663</v>
      </c>
      <c r="I20" s="9">
        <v>1.5275252316519626E-2</v>
      </c>
    </row>
    <row r="21" spans="1:9" x14ac:dyDescent="0.25">
      <c r="A21" s="2">
        <v>33</v>
      </c>
      <c r="B21" s="9">
        <v>6.37</v>
      </c>
      <c r="C21" s="9">
        <v>0.12165525060593944</v>
      </c>
      <c r="D21" s="7">
        <v>7.3933333333333335</v>
      </c>
      <c r="E21" s="8">
        <v>0.17009801096229046</v>
      </c>
      <c r="F21" s="6">
        <v>6.1966666666666663</v>
      </c>
      <c r="G21" s="6">
        <v>7.0945988845975722E-2</v>
      </c>
      <c r="H21" s="7">
        <v>6.7633333333333328</v>
      </c>
      <c r="I21" s="9">
        <v>0.14047538337137477</v>
      </c>
    </row>
    <row r="22" spans="1:9" x14ac:dyDescent="0.25">
      <c r="A22" s="2">
        <v>32</v>
      </c>
      <c r="B22" s="4">
        <v>6.3599999999999994</v>
      </c>
      <c r="C22" s="4">
        <v>5.0000000000000266E-2</v>
      </c>
      <c r="D22" s="7">
        <v>6.8566666666666665</v>
      </c>
      <c r="E22" s="8">
        <v>0.18147543451754666</v>
      </c>
      <c r="F22" s="6">
        <v>6.876666666666666</v>
      </c>
      <c r="G22" s="6">
        <v>6.6583281184793869E-2</v>
      </c>
      <c r="H22" s="7">
        <v>6.623333333333334</v>
      </c>
      <c r="I22" s="9">
        <v>0.11372481406155981</v>
      </c>
    </row>
    <row r="23" spans="1:9" x14ac:dyDescent="0.25">
      <c r="A23" s="2">
        <v>31</v>
      </c>
      <c r="B23" s="4">
        <v>6.6533333333333333</v>
      </c>
      <c r="C23" s="4">
        <v>5.7735026918961348E-3</v>
      </c>
      <c r="D23" s="7">
        <v>7.5200000000000005</v>
      </c>
      <c r="E23" s="8">
        <v>4.3588989435406823E-2</v>
      </c>
      <c r="F23" s="6">
        <v>6.9866666666666672</v>
      </c>
      <c r="G23" s="6">
        <v>8.7368949480527341E-2</v>
      </c>
      <c r="H23" s="7">
        <v>7.7133333333333338</v>
      </c>
      <c r="I23" s="9">
        <v>3.5118845842842597E-2</v>
      </c>
    </row>
    <row r="24" spans="1:9" x14ac:dyDescent="0.25">
      <c r="A24" s="2">
        <v>30</v>
      </c>
      <c r="B24" s="4">
        <v>6.96</v>
      </c>
      <c r="C24" s="4">
        <v>9.0000000000072758E-2</v>
      </c>
      <c r="D24" s="7">
        <v>7.68</v>
      </c>
      <c r="E24" s="8">
        <v>7.21110255092796E-2</v>
      </c>
      <c r="F24" s="6">
        <v>7.3133333333333335</v>
      </c>
      <c r="G24" s="6">
        <v>4.1633319989322758E-2</v>
      </c>
      <c r="H24" s="7">
        <v>7.9933333333333332</v>
      </c>
      <c r="I24" s="9">
        <v>1.154700538379227E-2</v>
      </c>
    </row>
    <row r="25" spans="1:9" x14ac:dyDescent="0.25">
      <c r="A25" s="2">
        <v>29</v>
      </c>
      <c r="B25" s="4">
        <v>7.79</v>
      </c>
      <c r="C25" s="4">
        <v>8.9999999999914856E-2</v>
      </c>
      <c r="D25" s="7">
        <v>7.7066666666666661</v>
      </c>
      <c r="E25" s="8">
        <v>0.3000555504125062</v>
      </c>
      <c r="F25" s="6">
        <v>8.1566666666666663</v>
      </c>
      <c r="G25" s="6">
        <v>2.5166114784235295E-2</v>
      </c>
      <c r="H25" s="7">
        <v>7.913333333333334</v>
      </c>
      <c r="I25" s="9">
        <v>2.5166114784236179E-2</v>
      </c>
    </row>
    <row r="26" spans="1:9" x14ac:dyDescent="0.25">
      <c r="A26" s="2">
        <v>28</v>
      </c>
      <c r="B26" s="4">
        <v>8.1166666666666671</v>
      </c>
      <c r="C26" s="4">
        <v>5.5075705472860705E-2</v>
      </c>
      <c r="D26" s="7">
        <v>8.1466666666666665</v>
      </c>
      <c r="E26" s="8">
        <v>8.0208062770106503E-2</v>
      </c>
      <c r="F26" s="6">
        <v>8.456666666666667</v>
      </c>
      <c r="G26" s="6">
        <v>4.0414518843273968E-2</v>
      </c>
      <c r="H26" s="7">
        <v>8.3466666666666658</v>
      </c>
      <c r="I26" s="9">
        <v>8.0829037686547645E-2</v>
      </c>
    </row>
    <row r="27" spans="1:9" x14ac:dyDescent="0.25">
      <c r="A27" s="2">
        <v>27</v>
      </c>
      <c r="B27" s="4">
        <v>7.8666666666666671</v>
      </c>
      <c r="C27" s="4">
        <v>6.1101009266077921E-2</v>
      </c>
      <c r="D27" s="7">
        <v>7.9533333333333331</v>
      </c>
      <c r="E27" s="8">
        <v>7.5718777944003057E-2</v>
      </c>
      <c r="F27" s="6">
        <v>8.1766666666666676</v>
      </c>
      <c r="G27" s="6">
        <v>5.77350269189634E-2</v>
      </c>
      <c r="H27" s="7">
        <v>8.3966666666666665</v>
      </c>
      <c r="I27" s="9">
        <v>5.7735026918961348E-3</v>
      </c>
    </row>
    <row r="28" spans="1:9" x14ac:dyDescent="0.25">
      <c r="A28" s="2">
        <v>26</v>
      </c>
      <c r="B28" s="4">
        <v>7.6000000000000005</v>
      </c>
      <c r="C28" s="4">
        <v>9.5393920141713759E-2</v>
      </c>
      <c r="D28" s="7">
        <v>8.0466666666666669</v>
      </c>
      <c r="E28" s="8">
        <v>4.0414518843273968E-2</v>
      </c>
      <c r="F28" s="6">
        <v>8.0266666666666655</v>
      </c>
      <c r="G28" s="6">
        <v>1.527525231651914E-2</v>
      </c>
      <c r="H28" s="7">
        <v>8.1433333333333326</v>
      </c>
      <c r="I28" s="9">
        <v>2.516611478423612E-2</v>
      </c>
    </row>
    <row r="29" spans="1:9" x14ac:dyDescent="0.25">
      <c r="A29" s="2">
        <v>25</v>
      </c>
      <c r="B29" s="4">
        <v>8.1966666666666672</v>
      </c>
      <c r="C29" s="4">
        <v>2.5166114784236117E-2</v>
      </c>
      <c r="D29" s="7">
        <v>8.07</v>
      </c>
      <c r="E29" s="8">
        <v>0.19078784028339027</v>
      </c>
      <c r="F29" s="6">
        <v>8.4933333333333341</v>
      </c>
      <c r="G29" s="6">
        <v>5.7735026918961348E-3</v>
      </c>
      <c r="H29" s="7">
        <v>8.5333333333333332</v>
      </c>
      <c r="I29" s="9">
        <v>5.507570547286076E-2</v>
      </c>
    </row>
    <row r="30" spans="1:9" x14ac:dyDescent="0.25">
      <c r="A30" s="2">
        <v>24</v>
      </c>
      <c r="B30" s="4">
        <v>8.0133333333333336</v>
      </c>
      <c r="C30" s="4">
        <v>4.0414518843274225E-2</v>
      </c>
      <c r="D30" s="7">
        <v>8.86</v>
      </c>
      <c r="E30" s="8">
        <v>0.11357816691613901</v>
      </c>
      <c r="F30" s="6">
        <v>8.33</v>
      </c>
      <c r="G30" s="6">
        <v>2.6457513110645339E-2</v>
      </c>
      <c r="H30" s="7">
        <v>9.1833333333333336</v>
      </c>
      <c r="I30" s="9">
        <v>2.5166114784236235E-2</v>
      </c>
    </row>
    <row r="31" spans="1:9" x14ac:dyDescent="0.25">
      <c r="A31" s="2">
        <v>23</v>
      </c>
      <c r="B31" s="4">
        <v>7.56</v>
      </c>
      <c r="C31" s="4">
        <v>5.291502622129203E-2</v>
      </c>
      <c r="D31" s="7">
        <v>8.5466666666666669</v>
      </c>
      <c r="E31" s="8">
        <v>0.13650396819631591</v>
      </c>
      <c r="F31" s="6">
        <v>8.0066666666666677</v>
      </c>
      <c r="G31" s="6">
        <v>4.7258156262526427E-2</v>
      </c>
      <c r="H31" s="7">
        <v>8.6533333333333342</v>
      </c>
      <c r="I31" s="9">
        <v>2.5166114784235295E-2</v>
      </c>
    </row>
    <row r="32" spans="1:9" x14ac:dyDescent="0.25">
      <c r="A32" s="2">
        <v>22</v>
      </c>
      <c r="B32" s="4">
        <v>7.78</v>
      </c>
      <c r="C32" s="4">
        <v>0.1153256259467122</v>
      </c>
      <c r="D32" s="7">
        <v>7.746666666666667</v>
      </c>
      <c r="E32" s="8">
        <v>5.7735026918961348E-3</v>
      </c>
      <c r="F32" s="6">
        <v>8.1866666666666674</v>
      </c>
      <c r="G32" s="6">
        <v>2.0816659994661878E-2</v>
      </c>
      <c r="H32" s="7">
        <v>8.2533333333333339</v>
      </c>
      <c r="I32" s="9">
        <v>5.8594652770822916E-2</v>
      </c>
    </row>
    <row r="33" spans="1:9" x14ac:dyDescent="0.25">
      <c r="A33" s="3">
        <v>21</v>
      </c>
      <c r="B33" s="10">
        <v>8.6433333333333326</v>
      </c>
      <c r="C33" s="10">
        <v>2.88675134594817E-2</v>
      </c>
      <c r="D33" s="7">
        <v>8.5666666666666664</v>
      </c>
      <c r="E33" s="8">
        <v>0.14843629385477128</v>
      </c>
      <c r="F33" s="6">
        <v>8.9833333333333325</v>
      </c>
      <c r="G33" s="6">
        <v>4.163331998932248E-2</v>
      </c>
      <c r="H33" s="7">
        <v>8.7566666666666659</v>
      </c>
      <c r="I33" s="9">
        <v>0.16862186493257422</v>
      </c>
    </row>
    <row r="34" spans="1:9" x14ac:dyDescent="0.25">
      <c r="A34" s="2">
        <v>20</v>
      </c>
      <c r="B34" s="9">
        <v>7.5999999999999988</v>
      </c>
      <c r="C34" s="9">
        <v>8.1853527718724603E-2</v>
      </c>
      <c r="D34" s="7">
        <v>7.5</v>
      </c>
      <c r="E34" s="8">
        <v>0.27784887978900474</v>
      </c>
      <c r="F34" s="6">
        <v>8.06</v>
      </c>
      <c r="G34" s="6">
        <v>1.7320508075689429E-2</v>
      </c>
      <c r="H34" s="7">
        <v>7.9633333333333338</v>
      </c>
      <c r="I34" s="9">
        <v>1.154700538379227E-2</v>
      </c>
    </row>
    <row r="35" spans="1:9" x14ac:dyDescent="0.25">
      <c r="A35" s="2">
        <v>19</v>
      </c>
      <c r="B35" s="4">
        <v>6.9033333333333333</v>
      </c>
      <c r="C35" s="4">
        <v>4.5092497528228866E-2</v>
      </c>
      <c r="D35" s="7">
        <v>7.043333333333333</v>
      </c>
      <c r="E35" s="8">
        <v>3.2145502536643326E-2</v>
      </c>
      <c r="F35" s="6">
        <v>7.6933333333333342</v>
      </c>
      <c r="G35" s="6">
        <v>4.725815626252642E-2</v>
      </c>
      <c r="H35" s="7">
        <v>7.3533333333333344</v>
      </c>
      <c r="I35" s="9">
        <v>5.7735026918966474E-3</v>
      </c>
    </row>
    <row r="36" spans="1:9" x14ac:dyDescent="0.25">
      <c r="A36" s="2">
        <v>18</v>
      </c>
      <c r="B36" s="4">
        <v>7.1066666666666665</v>
      </c>
      <c r="C36" s="4">
        <v>0.12662279942150934</v>
      </c>
      <c r="D36" s="7">
        <v>7.626666666666666</v>
      </c>
      <c r="E36" s="8">
        <v>1.527525231651914E-2</v>
      </c>
      <c r="F36" s="6">
        <v>7.7366666666666672</v>
      </c>
      <c r="G36" s="6">
        <v>7.7674534651539992E-2</v>
      </c>
      <c r="H36" s="7">
        <v>8.1833333333333318</v>
      </c>
      <c r="I36" s="9">
        <v>8.1445278152471073E-2</v>
      </c>
    </row>
    <row r="37" spans="1:9" x14ac:dyDescent="0.25">
      <c r="A37" s="2">
        <v>17</v>
      </c>
      <c r="B37" s="4">
        <v>7.2133333333333338</v>
      </c>
      <c r="C37" s="4">
        <v>0.12701705922175613</v>
      </c>
      <c r="D37" s="7">
        <v>7.2399999999999993</v>
      </c>
      <c r="E37" s="8">
        <v>7.8102496759066414E-2</v>
      </c>
      <c r="F37" s="6">
        <v>7.7733333333333334</v>
      </c>
      <c r="G37" s="6">
        <v>3.5118845842842181E-2</v>
      </c>
      <c r="H37" s="7">
        <v>7.7833333333333341</v>
      </c>
      <c r="I37" s="9">
        <v>5.7735026918961348E-3</v>
      </c>
    </row>
    <row r="38" spans="1:9" x14ac:dyDescent="0.25">
      <c r="A38" s="2">
        <v>16</v>
      </c>
      <c r="B38" s="4">
        <v>7.3933333333333335</v>
      </c>
      <c r="C38" s="4">
        <v>9.4516312525042265E-2</v>
      </c>
      <c r="D38" s="7">
        <v>7.2933333333333339</v>
      </c>
      <c r="E38" s="8">
        <v>9.0737717258714601E-2</v>
      </c>
      <c r="F38" s="6">
        <v>8.0499999999999989</v>
      </c>
      <c r="G38" s="6">
        <v>3.0000000000000249E-2</v>
      </c>
      <c r="H38" s="7">
        <v>7.7033333333333331</v>
      </c>
      <c r="I38" s="9">
        <v>2.0816659994661379E-2</v>
      </c>
    </row>
    <row r="39" spans="1:9" x14ac:dyDescent="0.25">
      <c r="A39" s="2">
        <v>15</v>
      </c>
      <c r="B39" s="4">
        <v>7.3733333333333322</v>
      </c>
      <c r="C39" s="4">
        <v>2.5166114784236179E-2</v>
      </c>
      <c r="D39" s="7">
        <v>7.2833333333333341</v>
      </c>
      <c r="E39" s="8">
        <v>6.5064070986477054E-2</v>
      </c>
      <c r="F39" s="6">
        <v>8.1</v>
      </c>
      <c r="G39" s="6">
        <v>9.9999999999997868E-3</v>
      </c>
      <c r="H39" s="7">
        <v>7.833333333333333</v>
      </c>
      <c r="I39" s="9">
        <v>3.2145502536643326E-2</v>
      </c>
    </row>
    <row r="40" spans="1:9" x14ac:dyDescent="0.25">
      <c r="A40" s="2">
        <v>14</v>
      </c>
      <c r="B40" s="4">
        <v>7.7533333333333339</v>
      </c>
      <c r="C40" s="4">
        <v>3.2145502536643007E-2</v>
      </c>
      <c r="D40" s="7">
        <v>7.71</v>
      </c>
      <c r="E40" s="8">
        <v>0.11789826122548404</v>
      </c>
      <c r="F40" s="6">
        <v>8.23</v>
      </c>
      <c r="G40" s="6">
        <v>9.9999999999997868E-3</v>
      </c>
      <c r="H40" s="7">
        <v>8.3266666666666662</v>
      </c>
      <c r="I40" s="9">
        <v>8.5049005481153683E-2</v>
      </c>
    </row>
    <row r="41" spans="1:9" x14ac:dyDescent="0.25">
      <c r="A41" s="2">
        <v>13</v>
      </c>
      <c r="B41" s="4">
        <v>7.3266666666666653</v>
      </c>
      <c r="C41" s="4">
        <v>0.65987372529398702</v>
      </c>
      <c r="D41" s="7">
        <v>7.496666666666667</v>
      </c>
      <c r="E41" s="8">
        <v>7.0945988845975722E-2</v>
      </c>
      <c r="F41" s="6">
        <v>8.1</v>
      </c>
      <c r="G41" s="6">
        <v>6.9282032302755661E-2</v>
      </c>
      <c r="H41" s="7">
        <v>8.2666666666666675</v>
      </c>
      <c r="I41" s="9">
        <v>6.110100926607831E-2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zoomScale="85" zoomScaleNormal="85" workbookViewId="0">
      <selection activeCell="J7" sqref="J7"/>
    </sheetView>
  </sheetViews>
  <sheetFormatPr defaultRowHeight="15" x14ac:dyDescent="0.25"/>
  <cols>
    <col min="1" max="1" width="20" style="1" customWidth="1"/>
    <col min="2" max="2" width="20.140625" style="1" customWidth="1"/>
    <col min="3" max="3" width="28.42578125" style="1" customWidth="1"/>
    <col min="4" max="4" width="26.5703125" style="1" customWidth="1"/>
    <col min="5" max="5" width="28" style="1" customWidth="1"/>
    <col min="6" max="16384" width="9.140625" style="1"/>
  </cols>
  <sheetData>
    <row r="1" spans="1:5" x14ac:dyDescent="0.25">
      <c r="A1" s="34" t="s">
        <v>8</v>
      </c>
      <c r="B1" s="35" t="s">
        <v>49</v>
      </c>
      <c r="C1" s="35" t="s">
        <v>50</v>
      </c>
      <c r="D1" s="35" t="s">
        <v>51</v>
      </c>
      <c r="E1" s="35" t="s">
        <v>52</v>
      </c>
    </row>
    <row r="2" spans="1:5" x14ac:dyDescent="0.25">
      <c r="A2" s="2">
        <v>1</v>
      </c>
      <c r="B2" s="4">
        <v>645.15</v>
      </c>
      <c r="C2" s="41">
        <v>53.952247404533544</v>
      </c>
      <c r="D2" s="7">
        <v>333.06666666666666</v>
      </c>
      <c r="E2" s="8">
        <v>18.966900994451695</v>
      </c>
    </row>
    <row r="3" spans="1:5" x14ac:dyDescent="0.25">
      <c r="A3" s="2">
        <v>2</v>
      </c>
      <c r="B3" s="4">
        <v>75.703333333333333</v>
      </c>
      <c r="C3" s="4">
        <v>18.125066436659758</v>
      </c>
      <c r="D3" s="7">
        <v>168.36666666666667</v>
      </c>
      <c r="E3" s="8">
        <v>5.0520622851795265</v>
      </c>
    </row>
    <row r="4" spans="1:5" x14ac:dyDescent="0.25">
      <c r="A4" s="2">
        <v>3</v>
      </c>
      <c r="B4" s="4">
        <v>135.06666666666669</v>
      </c>
      <c r="C4" s="4">
        <v>28.456516535467358</v>
      </c>
      <c r="D4" s="7">
        <v>915.06666666666661</v>
      </c>
      <c r="E4" s="8">
        <v>10.46151677976636</v>
      </c>
    </row>
    <row r="5" spans="1:5" x14ac:dyDescent="0.25">
      <c r="A5" s="2">
        <v>4</v>
      </c>
      <c r="B5" s="4">
        <v>148.16666666666666</v>
      </c>
      <c r="C5" s="4">
        <v>24.570782106667568</v>
      </c>
      <c r="D5" s="7">
        <v>695.43333333333339</v>
      </c>
      <c r="E5" s="8">
        <v>8.1867779579840096</v>
      </c>
    </row>
    <row r="6" spans="1:5" x14ac:dyDescent="0.25">
      <c r="A6" s="2">
        <v>5</v>
      </c>
      <c r="B6" s="4">
        <v>709.4666666666667</v>
      </c>
      <c r="C6" s="4">
        <v>239.54793535602278</v>
      </c>
      <c r="D6" s="7">
        <v>699.69999999999993</v>
      </c>
      <c r="E6" s="8">
        <v>42.998953475637073</v>
      </c>
    </row>
    <row r="7" spans="1:5" x14ac:dyDescent="0.25">
      <c r="A7" s="2">
        <v>6</v>
      </c>
      <c r="B7" s="4">
        <v>158.53333333333333</v>
      </c>
      <c r="C7" s="4">
        <v>21.209510445395427</v>
      </c>
      <c r="D7" s="7">
        <v>450.26666666666665</v>
      </c>
      <c r="E7" s="8">
        <v>15.147717099726055</v>
      </c>
    </row>
    <row r="8" spans="1:5" x14ac:dyDescent="0.25">
      <c r="A8" s="2">
        <v>7</v>
      </c>
      <c r="B8" s="4">
        <v>238.29999999999998</v>
      </c>
      <c r="C8" s="4">
        <v>14.080838043241602</v>
      </c>
      <c r="D8" s="7">
        <v>673.23333333333323</v>
      </c>
      <c r="E8" s="8">
        <v>24.035251888285558</v>
      </c>
    </row>
    <row r="9" spans="1:5" x14ac:dyDescent="0.25">
      <c r="A9" s="2">
        <v>8</v>
      </c>
      <c r="B9" s="4">
        <v>130.5</v>
      </c>
      <c r="C9" s="4">
        <v>13.631947769852992</v>
      </c>
      <c r="D9" s="7" t="s">
        <v>45</v>
      </c>
      <c r="E9" s="8" t="s">
        <v>45</v>
      </c>
    </row>
    <row r="10" spans="1:5" x14ac:dyDescent="0.25">
      <c r="A10" s="2">
        <v>9</v>
      </c>
      <c r="B10" s="4">
        <v>478.63333333333338</v>
      </c>
      <c r="C10" s="4">
        <v>135.8556709649373</v>
      </c>
      <c r="D10" s="7">
        <v>362</v>
      </c>
      <c r="E10" s="8">
        <v>25.344230112591696</v>
      </c>
    </row>
    <row r="11" spans="1:5" x14ac:dyDescent="0.25">
      <c r="A11" s="2">
        <v>10</v>
      </c>
      <c r="B11" s="4">
        <v>59.75333333333333</v>
      </c>
      <c r="C11" s="4">
        <v>5.2844709605913573</v>
      </c>
      <c r="D11" s="7">
        <v>209.63333333333333</v>
      </c>
      <c r="E11" s="8">
        <v>16.017906646417103</v>
      </c>
    </row>
    <row r="12" spans="1:5" x14ac:dyDescent="0.25">
      <c r="A12" s="2">
        <v>11</v>
      </c>
      <c r="B12" s="4">
        <v>99.296666666666681</v>
      </c>
      <c r="C12" s="4">
        <v>5.815499405324819</v>
      </c>
      <c r="D12" s="7">
        <v>359.5333333333333</v>
      </c>
      <c r="E12" s="8">
        <v>63.547252759921541</v>
      </c>
    </row>
    <row r="13" spans="1:5" x14ac:dyDescent="0.25">
      <c r="A13" s="2">
        <v>12</v>
      </c>
      <c r="B13" s="4">
        <v>109.5</v>
      </c>
      <c r="C13" s="4">
        <v>2.6664583251946752</v>
      </c>
      <c r="D13" s="7">
        <v>379.23333333333329</v>
      </c>
      <c r="E13" s="8">
        <v>0.98657657246322605</v>
      </c>
    </row>
    <row r="14" spans="1:5" x14ac:dyDescent="0.25">
      <c r="A14" s="2">
        <v>40</v>
      </c>
      <c r="B14" s="4">
        <v>184.43333333333331</v>
      </c>
      <c r="C14" s="4">
        <v>6.0665750908839318</v>
      </c>
      <c r="D14" s="7">
        <v>524.5</v>
      </c>
      <c r="E14" s="8">
        <v>30.604084694693963</v>
      </c>
    </row>
    <row r="15" spans="1:5" x14ac:dyDescent="0.25">
      <c r="A15" s="2">
        <v>39</v>
      </c>
      <c r="B15" s="4">
        <v>322.86666666666662</v>
      </c>
      <c r="C15" s="4">
        <v>7.4144004028197177</v>
      </c>
      <c r="D15" s="7">
        <v>408.43333333333334</v>
      </c>
      <c r="E15" s="8">
        <v>22.571072932701568</v>
      </c>
    </row>
    <row r="16" spans="1:5" x14ac:dyDescent="0.25">
      <c r="A16" s="2">
        <v>38</v>
      </c>
      <c r="B16" s="4">
        <v>261.43333333333334</v>
      </c>
      <c r="C16" s="4">
        <v>22.52428319244218</v>
      </c>
      <c r="D16" s="7">
        <v>339.43333333333334</v>
      </c>
      <c r="E16" s="8">
        <v>22.804677882691827</v>
      </c>
    </row>
    <row r="17" spans="1:5" x14ac:dyDescent="0.25">
      <c r="A17" s="2">
        <v>37</v>
      </c>
      <c r="B17" s="4">
        <v>339.03333333333336</v>
      </c>
      <c r="C17" s="4">
        <v>7.9387236589601313</v>
      </c>
      <c r="D17" s="7">
        <v>395.9666666666667</v>
      </c>
      <c r="E17" s="8">
        <v>7.7796743719344388</v>
      </c>
    </row>
    <row r="18" spans="1:5" x14ac:dyDescent="0.25">
      <c r="A18" s="2">
        <v>36</v>
      </c>
      <c r="B18" s="9">
        <v>263.33333333333331</v>
      </c>
      <c r="C18" s="9">
        <v>16.529468634331039</v>
      </c>
      <c r="D18" s="7">
        <v>573.4666666666667</v>
      </c>
      <c r="E18" s="8">
        <v>14.007973919640708</v>
      </c>
    </row>
    <row r="19" spans="1:5" x14ac:dyDescent="0.25">
      <c r="A19" s="2">
        <v>35</v>
      </c>
      <c r="B19" s="4">
        <v>145.26666666666668</v>
      </c>
      <c r="C19" s="4">
        <v>6.8134670567438222</v>
      </c>
      <c r="D19" s="7">
        <v>195.1</v>
      </c>
      <c r="E19" s="8">
        <v>2.1283796653792701</v>
      </c>
    </row>
    <row r="20" spans="1:5" x14ac:dyDescent="0.25">
      <c r="A20" s="2">
        <v>34</v>
      </c>
      <c r="B20" s="4">
        <v>153.46666666666667</v>
      </c>
      <c r="C20" s="4">
        <v>7.143061901827072</v>
      </c>
      <c r="D20" s="7">
        <v>239.6</v>
      </c>
      <c r="E20" s="8">
        <v>17.575835684256948</v>
      </c>
    </row>
    <row r="21" spans="1:5" x14ac:dyDescent="0.25">
      <c r="A21" s="2">
        <v>33</v>
      </c>
      <c r="B21" s="9">
        <v>174.03333333333333</v>
      </c>
      <c r="C21" s="9">
        <v>2.9091808698211539</v>
      </c>
      <c r="D21" s="7">
        <v>240.26666666666665</v>
      </c>
      <c r="E21" s="8">
        <v>7.2002314777605116</v>
      </c>
    </row>
    <row r="22" spans="1:5" x14ac:dyDescent="0.25">
      <c r="A22" s="2">
        <v>32</v>
      </c>
      <c r="B22" s="4">
        <v>129.30000000000001</v>
      </c>
      <c r="C22" s="4">
        <v>10.705606008068861</v>
      </c>
      <c r="D22" s="7">
        <v>229.5</v>
      </c>
      <c r="E22" s="8">
        <v>12.209832103677767</v>
      </c>
    </row>
    <row r="23" spans="1:5" x14ac:dyDescent="0.25">
      <c r="A23" s="2">
        <v>31</v>
      </c>
      <c r="B23" s="4">
        <v>97.12</v>
      </c>
      <c r="C23" s="4">
        <v>2.5409447062067279</v>
      </c>
      <c r="D23" s="7">
        <v>172.06666666666669</v>
      </c>
      <c r="E23" s="8">
        <v>7.1821538088050811</v>
      </c>
    </row>
    <row r="24" spans="1:5" x14ac:dyDescent="0.25">
      <c r="A24" s="2">
        <v>30</v>
      </c>
      <c r="B24" s="4">
        <v>422.5</v>
      </c>
      <c r="C24" s="4">
        <v>32.762325924756922</v>
      </c>
      <c r="D24" s="7">
        <v>264.09999999999997</v>
      </c>
      <c r="E24" s="8">
        <v>10.913752791776059</v>
      </c>
    </row>
    <row r="25" spans="1:5" x14ac:dyDescent="0.25">
      <c r="A25" s="2">
        <v>29</v>
      </c>
      <c r="B25" s="4">
        <v>199.70000000000002</v>
      </c>
      <c r="C25" s="4">
        <v>1.410673597966595</v>
      </c>
      <c r="D25" s="7">
        <v>180.63333333333335</v>
      </c>
      <c r="E25" s="8">
        <v>4.3038742236888474</v>
      </c>
    </row>
    <row r="26" spans="1:5" x14ac:dyDescent="0.25">
      <c r="A26" s="2">
        <v>28</v>
      </c>
      <c r="B26" s="4">
        <v>163.29999999999998</v>
      </c>
      <c r="C26" s="4">
        <v>9.1994565056855429</v>
      </c>
      <c r="D26" s="7">
        <v>229.20000000000002</v>
      </c>
      <c r="E26" s="8">
        <v>13.633781573723411</v>
      </c>
    </row>
    <row r="27" spans="1:5" x14ac:dyDescent="0.25">
      <c r="A27" s="2">
        <v>27</v>
      </c>
      <c r="B27" s="4">
        <v>181.26666666666665</v>
      </c>
      <c r="C27" s="4">
        <v>11.80945948523188</v>
      </c>
      <c r="D27" s="7">
        <v>196.26666666666665</v>
      </c>
      <c r="E27" s="8">
        <v>6.1711695271912053</v>
      </c>
    </row>
    <row r="28" spans="1:5" x14ac:dyDescent="0.25">
      <c r="A28" s="2">
        <v>26</v>
      </c>
      <c r="B28" s="4">
        <v>312.36666666666662</v>
      </c>
      <c r="C28" s="4">
        <v>12.720980046102317</v>
      </c>
      <c r="D28" s="7">
        <v>270.93333333333334</v>
      </c>
      <c r="E28" s="8">
        <v>3.901709027251155</v>
      </c>
    </row>
    <row r="29" spans="1:5" x14ac:dyDescent="0.25">
      <c r="A29" s="2">
        <v>25</v>
      </c>
      <c r="B29" s="4">
        <v>9176.3333333333339</v>
      </c>
      <c r="C29" s="4">
        <v>115.37041792995868</v>
      </c>
      <c r="D29" s="7">
        <v>6940</v>
      </c>
      <c r="E29" s="8">
        <v>379.52470275332541</v>
      </c>
    </row>
    <row r="30" spans="1:5" x14ac:dyDescent="0.25">
      <c r="A30" s="2">
        <v>24</v>
      </c>
      <c r="B30" s="4">
        <v>136.13333333333335</v>
      </c>
      <c r="C30" s="4">
        <v>6.2788003100380125</v>
      </c>
      <c r="D30" s="7">
        <v>5474.666666666667</v>
      </c>
      <c r="E30" s="8">
        <v>184.80891031910051</v>
      </c>
    </row>
    <row r="31" spans="1:5" x14ac:dyDescent="0.25">
      <c r="A31" s="2">
        <v>23</v>
      </c>
      <c r="B31" s="4">
        <v>969.76666666666677</v>
      </c>
      <c r="C31" s="4">
        <v>145.34463641061282</v>
      </c>
      <c r="D31" s="7">
        <v>142.96666666666667</v>
      </c>
      <c r="E31" s="8">
        <v>11.123099088533444</v>
      </c>
    </row>
    <row r="32" spans="1:5" x14ac:dyDescent="0.25">
      <c r="A32" s="2">
        <v>22</v>
      </c>
      <c r="B32" s="4">
        <v>333.8</v>
      </c>
      <c r="C32" s="4">
        <v>20.039710576752359</v>
      </c>
      <c r="D32" s="7">
        <v>222.63333333333335</v>
      </c>
      <c r="E32" s="8">
        <v>12.461674579820047</v>
      </c>
    </row>
    <row r="33" spans="1:5" x14ac:dyDescent="0.25">
      <c r="A33" s="3">
        <v>21</v>
      </c>
      <c r="B33" s="10">
        <v>169.6</v>
      </c>
      <c r="C33" s="10">
        <v>1.2529964086141658</v>
      </c>
      <c r="D33" s="7">
        <v>5760</v>
      </c>
      <c r="E33" s="8">
        <v>1354.3201246381891</v>
      </c>
    </row>
    <row r="34" spans="1:5" x14ac:dyDescent="0.25">
      <c r="A34" s="2">
        <v>20</v>
      </c>
      <c r="B34" s="9">
        <v>374.26666666666665</v>
      </c>
      <c r="C34" s="9">
        <v>3.4486712417006862</v>
      </c>
      <c r="D34" s="7">
        <v>575.1</v>
      </c>
      <c r="E34" s="8">
        <v>15.204933409916698</v>
      </c>
    </row>
    <row r="35" spans="1:5" x14ac:dyDescent="0.25">
      <c r="A35" s="2">
        <v>19</v>
      </c>
      <c r="B35" s="4">
        <v>4925.666666666667</v>
      </c>
      <c r="C35" s="4">
        <v>556.81355347488932</v>
      </c>
      <c r="D35" s="7">
        <v>880.6</v>
      </c>
      <c r="E35" s="8">
        <v>14.435719587190672</v>
      </c>
    </row>
    <row r="36" spans="1:5" x14ac:dyDescent="0.25">
      <c r="A36" s="2">
        <v>18</v>
      </c>
      <c r="B36" s="4">
        <v>336.43333333333334</v>
      </c>
      <c r="C36" s="4">
        <v>20.667930068909499</v>
      </c>
      <c r="D36" s="7">
        <v>652.86666666666667</v>
      </c>
      <c r="E36" s="8">
        <v>76.911919319006259</v>
      </c>
    </row>
    <row r="37" spans="1:5" x14ac:dyDescent="0.25">
      <c r="A37" s="2">
        <v>17</v>
      </c>
      <c r="B37" s="4">
        <v>3265.6666666666665</v>
      </c>
      <c r="C37" s="4">
        <v>1030.0360835103468</v>
      </c>
      <c r="D37" s="7">
        <v>590.19999999999993</v>
      </c>
      <c r="E37" s="8">
        <v>4.1999999999999886</v>
      </c>
    </row>
    <row r="38" spans="1:5" x14ac:dyDescent="0.25">
      <c r="A38" s="2">
        <v>16</v>
      </c>
      <c r="B38" s="4">
        <v>312.76666666666665</v>
      </c>
      <c r="C38" s="4">
        <v>6.9716090921202269</v>
      </c>
      <c r="D38" s="7">
        <v>449.83333333333331</v>
      </c>
      <c r="E38" s="8">
        <v>14.494596694400737</v>
      </c>
    </row>
    <row r="39" spans="1:5" x14ac:dyDescent="0.25">
      <c r="A39" s="2">
        <v>15</v>
      </c>
      <c r="B39" s="4">
        <v>256.5</v>
      </c>
      <c r="C39" s="4">
        <v>4.4977772288098175</v>
      </c>
      <c r="D39" s="7">
        <v>345.5</v>
      </c>
      <c r="E39" s="8">
        <v>20.611404610069645</v>
      </c>
    </row>
    <row r="40" spans="1:5" x14ac:dyDescent="0.25">
      <c r="A40" s="2">
        <v>14</v>
      </c>
      <c r="B40" s="4">
        <v>193.66666666666666</v>
      </c>
      <c r="C40" s="4">
        <v>1.0115993936995684</v>
      </c>
      <c r="D40" s="7">
        <v>240.46666666666667</v>
      </c>
      <c r="E40" s="8">
        <v>5.601190349678653</v>
      </c>
    </row>
    <row r="41" spans="1:5" x14ac:dyDescent="0.25">
      <c r="A41" s="2">
        <v>13</v>
      </c>
      <c r="B41" s="4">
        <v>216.70000000000002</v>
      </c>
      <c r="C41" s="4">
        <v>0.79372539331937508</v>
      </c>
      <c r="D41" s="7">
        <v>352.13333333333338</v>
      </c>
      <c r="E41" s="8">
        <v>1.7785762095938811</v>
      </c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"/>
  <sheetViews>
    <sheetView zoomScale="85" zoomScaleNormal="85" workbookViewId="0">
      <selection activeCell="K27" sqref="K27"/>
    </sheetView>
  </sheetViews>
  <sheetFormatPr defaultRowHeight="15" x14ac:dyDescent="0.25"/>
  <cols>
    <col min="1" max="1" width="24.140625" style="11" customWidth="1"/>
    <col min="2" max="2" width="38.28515625" style="11" customWidth="1"/>
    <col min="3" max="3" width="18.5703125" style="11" customWidth="1"/>
    <col min="4" max="16384" width="9.140625" style="11"/>
  </cols>
  <sheetData>
    <row r="1" spans="1:3" x14ac:dyDescent="0.25">
      <c r="A1" s="60" t="s">
        <v>28</v>
      </c>
      <c r="B1" s="38" t="s">
        <v>43</v>
      </c>
      <c r="C1" s="39" t="s">
        <v>44</v>
      </c>
    </row>
    <row r="2" spans="1:3" x14ac:dyDescent="0.25">
      <c r="A2" s="61"/>
      <c r="B2" s="36" t="s">
        <v>42</v>
      </c>
      <c r="C2" s="40" t="s">
        <v>42</v>
      </c>
    </row>
    <row r="3" spans="1:3" x14ac:dyDescent="0.25">
      <c r="A3" s="27">
        <v>1</v>
      </c>
      <c r="B3" s="37">
        <v>21.767191950000001</v>
      </c>
      <c r="C3" s="40">
        <v>1.9380375000000003</v>
      </c>
    </row>
    <row r="4" spans="1:3" x14ac:dyDescent="0.25">
      <c r="A4" s="27">
        <v>2</v>
      </c>
      <c r="B4" s="37">
        <v>45.343799999999995</v>
      </c>
      <c r="C4" s="40">
        <v>4.2768000000000006</v>
      </c>
    </row>
    <row r="5" spans="1:3" x14ac:dyDescent="0.25">
      <c r="A5" s="27">
        <v>3</v>
      </c>
      <c r="B5" s="37">
        <v>73.64700000000002</v>
      </c>
      <c r="C5" s="40">
        <v>6.3315000000000001</v>
      </c>
    </row>
    <row r="6" spans="1:3" x14ac:dyDescent="0.25">
      <c r="A6" s="27">
        <v>4</v>
      </c>
      <c r="B6" s="37">
        <v>32.688000000000002</v>
      </c>
      <c r="C6" s="40">
        <v>4.2029999999999994</v>
      </c>
    </row>
    <row r="7" spans="1:3" x14ac:dyDescent="0.25">
      <c r="A7" s="27">
        <v>5</v>
      </c>
      <c r="B7" s="37">
        <v>42.276299999999992</v>
      </c>
      <c r="C7" s="40">
        <v>4.1124000000000001</v>
      </c>
    </row>
    <row r="8" spans="1:3" x14ac:dyDescent="0.25">
      <c r="A8" s="27">
        <v>6</v>
      </c>
      <c r="B8" s="37">
        <v>45.594900000000003</v>
      </c>
      <c r="C8" s="40">
        <v>5.2326000000000006</v>
      </c>
    </row>
    <row r="9" spans="1:3" x14ac:dyDescent="0.25">
      <c r="A9" s="27">
        <v>7</v>
      </c>
      <c r="B9" s="37">
        <v>38.1907</v>
      </c>
      <c r="C9" s="40">
        <v>3.7700999999999998</v>
      </c>
    </row>
    <row r="10" spans="1:3" x14ac:dyDescent="0.25">
      <c r="A10" s="27">
        <v>8</v>
      </c>
      <c r="B10" s="37">
        <v>39.098700000000001</v>
      </c>
      <c r="C10" s="40">
        <v>4.0783500000000004</v>
      </c>
    </row>
    <row r="11" spans="1:3" x14ac:dyDescent="0.25">
      <c r="A11" s="27">
        <v>9</v>
      </c>
      <c r="B11" s="37">
        <v>63.58005</v>
      </c>
      <c r="C11" s="40">
        <v>5.0145749999999989</v>
      </c>
    </row>
    <row r="12" spans="1:3" x14ac:dyDescent="0.25">
      <c r="A12" s="27">
        <v>10</v>
      </c>
      <c r="B12" s="37">
        <v>35.261999999999993</v>
      </c>
      <c r="C12" s="40">
        <v>2.6189999999999998</v>
      </c>
    </row>
    <row r="13" spans="1:3" x14ac:dyDescent="0.25">
      <c r="A13" s="27">
        <v>11</v>
      </c>
      <c r="B13" s="37">
        <v>24.900749999999995</v>
      </c>
      <c r="C13" s="40">
        <v>3.6324750000000008</v>
      </c>
    </row>
    <row r="14" spans="1:3" x14ac:dyDescent="0.25">
      <c r="A14" s="27">
        <v>12</v>
      </c>
      <c r="B14" s="37">
        <v>31.454999999999991</v>
      </c>
      <c r="C14" s="40">
        <v>4.1137500000000005</v>
      </c>
    </row>
    <row r="15" spans="1:3" x14ac:dyDescent="0.25">
      <c r="A15" s="27">
        <v>40</v>
      </c>
      <c r="B15" s="37">
        <v>41.801249999999996</v>
      </c>
      <c r="C15" s="40">
        <v>3.0405750000000005</v>
      </c>
    </row>
    <row r="16" spans="1:3" x14ac:dyDescent="0.25">
      <c r="A16" s="27">
        <v>39</v>
      </c>
      <c r="B16" s="37">
        <v>39.483000000000004</v>
      </c>
      <c r="C16" s="40">
        <v>3.8758500000000002</v>
      </c>
    </row>
    <row r="17" spans="1:3" x14ac:dyDescent="0.25">
      <c r="A17" s="27">
        <v>38</v>
      </c>
      <c r="B17" s="37">
        <v>36.483750000000001</v>
      </c>
      <c r="C17" s="40">
        <v>3.8925000000000001</v>
      </c>
    </row>
    <row r="18" spans="1:3" x14ac:dyDescent="0.25">
      <c r="A18" s="27">
        <v>37</v>
      </c>
      <c r="B18" s="37">
        <v>34.301625000000001</v>
      </c>
      <c r="C18" s="40">
        <v>3.4738124999999997</v>
      </c>
    </row>
    <row r="19" spans="1:3" x14ac:dyDescent="0.25">
      <c r="A19" s="27">
        <v>36</v>
      </c>
      <c r="B19" s="37">
        <v>41.161650000000009</v>
      </c>
      <c r="C19" s="40">
        <v>3.4780875000000004</v>
      </c>
    </row>
    <row r="20" spans="1:3" x14ac:dyDescent="0.25">
      <c r="A20" s="27">
        <v>35</v>
      </c>
      <c r="B20" s="37">
        <v>30.038400000000003</v>
      </c>
      <c r="C20" s="40">
        <v>2.8999125000000001</v>
      </c>
    </row>
    <row r="21" spans="1:3" x14ac:dyDescent="0.25">
      <c r="A21" s="27">
        <v>34</v>
      </c>
      <c r="B21" s="37">
        <v>22.705799999999996</v>
      </c>
      <c r="C21" s="40">
        <v>2.7121499999999998</v>
      </c>
    </row>
    <row r="22" spans="1:3" x14ac:dyDescent="0.25">
      <c r="A22" s="27">
        <v>33</v>
      </c>
      <c r="B22" s="37">
        <v>29.743200000000005</v>
      </c>
      <c r="C22" s="40">
        <v>3.3277500000000004</v>
      </c>
    </row>
    <row r="23" spans="1:3" x14ac:dyDescent="0.25">
      <c r="A23" s="27">
        <v>32</v>
      </c>
      <c r="B23" s="37">
        <v>24.657549999999997</v>
      </c>
      <c r="C23" s="40">
        <v>2.5363124999999997</v>
      </c>
    </row>
    <row r="24" spans="1:3" x14ac:dyDescent="0.25">
      <c r="A24" s="27">
        <v>31</v>
      </c>
      <c r="B24" s="37">
        <v>18.316200000000002</v>
      </c>
      <c r="C24" s="40">
        <v>2.3829750000000001</v>
      </c>
    </row>
    <row r="25" spans="1:3" x14ac:dyDescent="0.25">
      <c r="A25" s="27">
        <v>30</v>
      </c>
      <c r="B25" s="37">
        <v>14.666100000000002</v>
      </c>
      <c r="C25" s="40">
        <v>1.8674999999999999</v>
      </c>
    </row>
    <row r="26" spans="1:3" x14ac:dyDescent="0.25">
      <c r="A26" s="27">
        <v>29</v>
      </c>
      <c r="B26" s="37">
        <v>15.835299999999998</v>
      </c>
      <c r="C26" s="40">
        <v>1.7998499999999997</v>
      </c>
    </row>
    <row r="27" spans="1:3" x14ac:dyDescent="0.25">
      <c r="A27" s="27">
        <v>28</v>
      </c>
      <c r="B27" s="37">
        <v>16.191999999999997</v>
      </c>
      <c r="C27" s="40">
        <v>1.3662000000000003</v>
      </c>
    </row>
    <row r="28" spans="1:3" s="12" customFormat="1" x14ac:dyDescent="0.25">
      <c r="A28" s="27">
        <v>27</v>
      </c>
      <c r="B28" s="37">
        <v>13.883999999999997</v>
      </c>
      <c r="C28" s="40">
        <v>1.528575</v>
      </c>
    </row>
    <row r="29" spans="1:3" x14ac:dyDescent="0.25">
      <c r="A29" s="27">
        <v>26</v>
      </c>
      <c r="B29" s="37">
        <v>15.084899999999999</v>
      </c>
      <c r="C29" s="40">
        <v>1.7100750000000005</v>
      </c>
    </row>
    <row r="30" spans="1:3" x14ac:dyDescent="0.25">
      <c r="A30" s="27">
        <v>25</v>
      </c>
      <c r="B30" s="37">
        <v>8.9774999999999991</v>
      </c>
      <c r="C30" s="40">
        <v>1.1970000000000001</v>
      </c>
    </row>
    <row r="31" spans="1:3" x14ac:dyDescent="0.25">
      <c r="A31" s="27">
        <v>24</v>
      </c>
      <c r="B31" s="37">
        <v>12.282000000000002</v>
      </c>
      <c r="C31" s="40">
        <v>1.3800000000000001</v>
      </c>
    </row>
    <row r="32" spans="1:3" x14ac:dyDescent="0.25">
      <c r="A32" s="27">
        <v>23</v>
      </c>
      <c r="B32" s="37">
        <v>9.677249999999999</v>
      </c>
      <c r="C32" s="40">
        <v>1.2495000000000001</v>
      </c>
    </row>
    <row r="33" spans="1:3" x14ac:dyDescent="0.25">
      <c r="A33" s="27">
        <v>22</v>
      </c>
      <c r="B33" s="37">
        <v>20.500275000000002</v>
      </c>
      <c r="C33" s="40">
        <v>2.1253875</v>
      </c>
    </row>
    <row r="34" spans="1:3" x14ac:dyDescent="0.25">
      <c r="A34" s="27">
        <v>21</v>
      </c>
      <c r="B34" s="37">
        <v>19.315799999999999</v>
      </c>
      <c r="C34" s="40">
        <v>1.7954999999999999</v>
      </c>
    </row>
    <row r="35" spans="1:3" x14ac:dyDescent="0.25">
      <c r="A35" s="27">
        <v>20</v>
      </c>
      <c r="B35" s="37">
        <v>22.891199999999998</v>
      </c>
      <c r="C35" s="40">
        <v>2.5821000000000001</v>
      </c>
    </row>
    <row r="36" spans="1:3" x14ac:dyDescent="0.25">
      <c r="A36" s="27">
        <v>19</v>
      </c>
      <c r="B36" s="37">
        <v>39.028500000000001</v>
      </c>
      <c r="C36" s="40">
        <v>3.5626499999999997</v>
      </c>
    </row>
    <row r="37" spans="1:3" x14ac:dyDescent="0.25">
      <c r="A37" s="27">
        <v>18</v>
      </c>
      <c r="B37" s="37">
        <v>10.881224999999999</v>
      </c>
      <c r="C37" s="40">
        <v>3.3856124999999997</v>
      </c>
    </row>
    <row r="38" spans="1:3" x14ac:dyDescent="0.25">
      <c r="A38" s="27">
        <v>17</v>
      </c>
      <c r="B38" s="37">
        <v>45.265200000000014</v>
      </c>
      <c r="C38" s="40">
        <v>3.9647250000000005</v>
      </c>
    </row>
    <row r="39" spans="1:3" x14ac:dyDescent="0.25">
      <c r="A39" s="27">
        <v>16</v>
      </c>
      <c r="B39" s="37">
        <v>35.002124999999999</v>
      </c>
      <c r="C39" s="40">
        <v>3.6703125000000005</v>
      </c>
    </row>
    <row r="40" spans="1:3" x14ac:dyDescent="0.25">
      <c r="A40" s="27">
        <v>15</v>
      </c>
      <c r="B40" s="37">
        <v>26.611199999999997</v>
      </c>
      <c r="C40" s="40">
        <v>3.2184000000000004</v>
      </c>
    </row>
    <row r="41" spans="1:3" x14ac:dyDescent="0.25">
      <c r="A41" s="27">
        <v>14</v>
      </c>
      <c r="B41" s="37">
        <v>18.600974999999998</v>
      </c>
      <c r="C41" s="40">
        <v>2.4728625000000002</v>
      </c>
    </row>
    <row r="42" spans="1:3" x14ac:dyDescent="0.25">
      <c r="A42" s="27">
        <v>13</v>
      </c>
      <c r="B42" s="37">
        <v>25.192125000000004</v>
      </c>
      <c r="C42" s="40">
        <v>2.9161125000000001</v>
      </c>
    </row>
  </sheetData>
  <mergeCells count="1">
    <mergeCell ref="A1:A2"/>
  </mergeCells>
  <pageMargins left="0.7" right="0.7" top="0.75" bottom="0.75" header="0.3" footer="0.3"/>
  <pageSetup paperSize="9" orientation="portrait" horizontalDpi="4294967293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41"/>
  <sheetViews>
    <sheetView tabSelected="1" workbookViewId="0">
      <pane xSplit="1" topLeftCell="C1" activePane="topRight" state="frozen"/>
      <selection pane="topRight" activeCell="C29" sqref="C29"/>
    </sheetView>
  </sheetViews>
  <sheetFormatPr defaultRowHeight="15" x14ac:dyDescent="0.25"/>
  <cols>
    <col min="1" max="1" width="9.5703125" style="46" customWidth="1"/>
    <col min="2" max="2" width="19.42578125" style="46" customWidth="1"/>
    <col min="3" max="3" width="40.7109375" style="46" customWidth="1"/>
    <col min="4" max="4" width="13.7109375" style="46" customWidth="1"/>
    <col min="5" max="5" width="12" style="46" customWidth="1"/>
    <col min="6" max="6" width="20.85546875" style="46" customWidth="1"/>
    <col min="7" max="7" width="17.42578125" style="46" customWidth="1"/>
    <col min="8" max="8" width="16" style="46" customWidth="1"/>
    <col min="9" max="9" width="13.140625" style="46" customWidth="1"/>
    <col min="10" max="10" width="12" style="46" customWidth="1"/>
    <col min="11" max="11" width="16" style="46" customWidth="1"/>
    <col min="12" max="12" width="12.28515625" style="46" customWidth="1"/>
    <col min="13" max="16384" width="9.140625" style="46"/>
  </cols>
  <sheetData>
    <row r="1" spans="1:13" ht="38.25" customHeight="1" x14ac:dyDescent="0.25">
      <c r="A1" s="43" t="s">
        <v>53</v>
      </c>
      <c r="B1" s="44" t="s">
        <v>54</v>
      </c>
      <c r="C1" s="44" t="s">
        <v>55</v>
      </c>
      <c r="D1" s="44" t="s">
        <v>56</v>
      </c>
      <c r="E1" s="44" t="s">
        <v>57</v>
      </c>
      <c r="F1" s="44" t="s">
        <v>58</v>
      </c>
      <c r="G1" s="44" t="s">
        <v>59</v>
      </c>
      <c r="H1" s="44" t="s">
        <v>60</v>
      </c>
      <c r="I1" s="44" t="s">
        <v>61</v>
      </c>
      <c r="J1" s="44" t="s">
        <v>62</v>
      </c>
      <c r="K1" s="45" t="s">
        <v>63</v>
      </c>
      <c r="L1" s="45" t="s">
        <v>64</v>
      </c>
    </row>
    <row r="2" spans="1:13" ht="15" customHeight="1" x14ac:dyDescent="0.25">
      <c r="A2" s="47">
        <v>1</v>
      </c>
      <c r="B2" s="48" t="s">
        <v>65</v>
      </c>
      <c r="C2" s="48" t="s">
        <v>66</v>
      </c>
      <c r="D2" s="48" t="s">
        <v>67</v>
      </c>
      <c r="E2" s="48">
        <v>94.132999999999996</v>
      </c>
      <c r="F2" s="48" t="s">
        <v>68</v>
      </c>
      <c r="G2" s="48" t="s">
        <v>69</v>
      </c>
      <c r="H2" s="48" t="s">
        <v>70</v>
      </c>
      <c r="I2" s="49">
        <v>69.100112019999997</v>
      </c>
      <c r="J2" s="49">
        <v>54.893283019999998</v>
      </c>
      <c r="K2" s="50">
        <v>357.53652173913042</v>
      </c>
      <c r="L2" s="51">
        <v>1.5558695652173893</v>
      </c>
      <c r="M2" s="52"/>
    </row>
    <row r="3" spans="1:13" x14ac:dyDescent="0.25">
      <c r="A3" s="47">
        <v>2</v>
      </c>
      <c r="B3" s="48" t="s">
        <v>71</v>
      </c>
      <c r="C3" s="48" t="s">
        <v>72</v>
      </c>
      <c r="D3" s="48" t="s">
        <v>73</v>
      </c>
      <c r="E3" s="48">
        <v>108.423</v>
      </c>
      <c r="F3" s="48" t="s">
        <v>74</v>
      </c>
      <c r="G3" s="48" t="s">
        <v>75</v>
      </c>
      <c r="H3" s="48" t="s">
        <v>70</v>
      </c>
      <c r="I3" s="49">
        <v>69.099096972500007</v>
      </c>
      <c r="J3" s="49">
        <v>54.748148024099997</v>
      </c>
      <c r="K3" s="50">
        <v>357.53652173913042</v>
      </c>
      <c r="L3" s="51">
        <v>1.5558695652173893</v>
      </c>
      <c r="M3" s="52"/>
    </row>
    <row r="4" spans="1:13" x14ac:dyDescent="0.25">
      <c r="A4" s="47">
        <v>3</v>
      </c>
      <c r="B4" s="48" t="s">
        <v>76</v>
      </c>
      <c r="C4" s="48" t="s">
        <v>77</v>
      </c>
      <c r="D4" s="48" t="s">
        <v>78</v>
      </c>
      <c r="E4" s="48">
        <v>139.00299999999999</v>
      </c>
      <c r="F4" s="48" t="s">
        <v>79</v>
      </c>
      <c r="G4" s="48" t="s">
        <v>80</v>
      </c>
      <c r="H4" s="48" t="s">
        <v>70</v>
      </c>
      <c r="I4" s="49">
        <v>69.193820021999997</v>
      </c>
      <c r="J4" s="49">
        <v>54.542985018300001</v>
      </c>
      <c r="K4" s="50">
        <v>357.53652173913042</v>
      </c>
      <c r="L4" s="51">
        <v>1.5558695652173893</v>
      </c>
      <c r="M4" s="52"/>
    </row>
    <row r="5" spans="1:13" x14ac:dyDescent="0.25">
      <c r="A5" s="47">
        <v>4</v>
      </c>
      <c r="B5" s="48" t="s">
        <v>81</v>
      </c>
      <c r="C5" s="48" t="s">
        <v>72</v>
      </c>
      <c r="D5" s="48" t="s">
        <v>82</v>
      </c>
      <c r="E5" s="48">
        <v>127.015</v>
      </c>
      <c r="F5" s="48" t="s">
        <v>74</v>
      </c>
      <c r="G5" s="48" t="s">
        <v>75</v>
      </c>
      <c r="H5" s="48" t="s">
        <v>70</v>
      </c>
      <c r="I5" s="49">
        <v>69.158153012400007</v>
      </c>
      <c r="J5" s="49">
        <v>54.270331012100002</v>
      </c>
      <c r="K5" s="50">
        <v>346.11304347826092</v>
      </c>
      <c r="L5" s="51">
        <v>1.7744927536231878</v>
      </c>
      <c r="M5" s="52"/>
    </row>
    <row r="6" spans="1:13" x14ac:dyDescent="0.25">
      <c r="A6" s="47">
        <v>5</v>
      </c>
      <c r="B6" s="48" t="s">
        <v>83</v>
      </c>
      <c r="C6" s="48" t="s">
        <v>84</v>
      </c>
      <c r="D6" s="48" t="s">
        <v>82</v>
      </c>
      <c r="E6" s="48">
        <v>127.86499999999999</v>
      </c>
      <c r="F6" s="48" t="s">
        <v>74</v>
      </c>
      <c r="G6" s="48" t="s">
        <v>75</v>
      </c>
      <c r="H6" s="48" t="s">
        <v>70</v>
      </c>
      <c r="I6" s="49">
        <v>69.161334028499994</v>
      </c>
      <c r="J6" s="49">
        <v>54.018161036099997</v>
      </c>
      <c r="K6" s="50">
        <v>346.11304347826092</v>
      </c>
      <c r="L6" s="51">
        <v>1.7744927536231878</v>
      </c>
      <c r="M6" s="52"/>
    </row>
    <row r="7" spans="1:13" x14ac:dyDescent="0.25">
      <c r="A7" s="47">
        <v>6</v>
      </c>
      <c r="B7" s="48" t="s">
        <v>85</v>
      </c>
      <c r="C7" s="48" t="s">
        <v>84</v>
      </c>
      <c r="D7" s="48" t="s">
        <v>82</v>
      </c>
      <c r="E7" s="48">
        <v>188.19399999999999</v>
      </c>
      <c r="F7" s="48" t="s">
        <v>74</v>
      </c>
      <c r="G7" s="48" t="s">
        <v>75</v>
      </c>
      <c r="H7" s="48" t="s">
        <v>70</v>
      </c>
      <c r="I7" s="49">
        <v>69.438827997100006</v>
      </c>
      <c r="J7" s="49">
        <v>53.658926999199998</v>
      </c>
      <c r="K7" s="50">
        <v>332.22608695652161</v>
      </c>
      <c r="L7" s="51">
        <v>1.6171014492753626</v>
      </c>
      <c r="M7" s="52"/>
    </row>
    <row r="8" spans="1:13" x14ac:dyDescent="0.25">
      <c r="A8" s="47">
        <v>7</v>
      </c>
      <c r="B8" s="48" t="s">
        <v>86</v>
      </c>
      <c r="C8" s="48" t="s">
        <v>87</v>
      </c>
      <c r="D8" s="48" t="s">
        <v>67</v>
      </c>
      <c r="E8" s="48">
        <v>250.34800000000001</v>
      </c>
      <c r="F8" s="48" t="s">
        <v>68</v>
      </c>
      <c r="G8" s="48" t="s">
        <v>75</v>
      </c>
      <c r="H8" s="48" t="s">
        <v>70</v>
      </c>
      <c r="I8" s="49">
        <v>69.472353011400003</v>
      </c>
      <c r="J8" s="49">
        <v>53.259423030500002</v>
      </c>
      <c r="K8" s="50">
        <v>323.71565217391304</v>
      </c>
      <c r="L8" s="51">
        <v>1.3937681159420279</v>
      </c>
      <c r="M8" s="52"/>
    </row>
    <row r="9" spans="1:13" x14ac:dyDescent="0.25">
      <c r="A9" s="47">
        <v>8</v>
      </c>
      <c r="B9" s="48" t="s">
        <v>88</v>
      </c>
      <c r="C9" s="48" t="s">
        <v>87</v>
      </c>
      <c r="D9" s="48" t="s">
        <v>82</v>
      </c>
      <c r="E9" s="48">
        <v>327.49299999999999</v>
      </c>
      <c r="F9" s="48" t="s">
        <v>74</v>
      </c>
      <c r="G9" s="48" t="s">
        <v>75</v>
      </c>
      <c r="H9" s="48" t="s">
        <v>70</v>
      </c>
      <c r="I9" s="49">
        <v>69.890226004599995</v>
      </c>
      <c r="J9" s="49">
        <v>53.106856970099997</v>
      </c>
      <c r="K9" s="50">
        <v>324.95130434782607</v>
      </c>
      <c r="L9" s="51">
        <v>1.4015217391304355</v>
      </c>
      <c r="M9" s="52"/>
    </row>
    <row r="10" spans="1:13" x14ac:dyDescent="0.25">
      <c r="A10" s="47">
        <v>9</v>
      </c>
      <c r="B10" s="48" t="s">
        <v>89</v>
      </c>
      <c r="C10" s="48" t="s">
        <v>87</v>
      </c>
      <c r="D10" s="48" t="s">
        <v>73</v>
      </c>
      <c r="E10" s="48">
        <v>407.036</v>
      </c>
      <c r="F10" s="48" t="s">
        <v>74</v>
      </c>
      <c r="G10" s="48" t="s">
        <v>75</v>
      </c>
      <c r="H10" s="48" t="s">
        <v>70</v>
      </c>
      <c r="I10" s="49">
        <v>70.203838013099997</v>
      </c>
      <c r="J10" s="49">
        <v>52.8430580255</v>
      </c>
      <c r="K10" s="50">
        <v>328.1321739130434</v>
      </c>
      <c r="L10" s="51">
        <v>1.213913043478261</v>
      </c>
      <c r="M10" s="52"/>
    </row>
    <row r="11" spans="1:13" x14ac:dyDescent="0.25">
      <c r="A11" s="47">
        <v>10</v>
      </c>
      <c r="B11" s="48" t="s">
        <v>90</v>
      </c>
      <c r="C11" s="48" t="s">
        <v>91</v>
      </c>
      <c r="D11" s="48" t="s">
        <v>78</v>
      </c>
      <c r="E11" s="48">
        <v>416.05799999999999</v>
      </c>
      <c r="F11" s="48" t="s">
        <v>92</v>
      </c>
      <c r="G11" s="48" t="s">
        <v>93</v>
      </c>
      <c r="H11" s="48" t="s">
        <v>70</v>
      </c>
      <c r="I11" s="49">
        <v>70.561460964399998</v>
      </c>
      <c r="J11" s="49">
        <v>52.597134998100003</v>
      </c>
      <c r="K11" s="50">
        <v>329.85826086956519</v>
      </c>
      <c r="L11" s="51">
        <v>1.42536231884058</v>
      </c>
      <c r="M11" s="52"/>
    </row>
    <row r="12" spans="1:13" x14ac:dyDescent="0.25">
      <c r="A12" s="47">
        <v>11</v>
      </c>
      <c r="B12" s="48" t="s">
        <v>94</v>
      </c>
      <c r="C12" s="48" t="s">
        <v>87</v>
      </c>
      <c r="D12" s="48" t="s">
        <v>67</v>
      </c>
      <c r="E12" s="48">
        <v>384.35</v>
      </c>
      <c r="F12" s="48" t="s">
        <v>74</v>
      </c>
      <c r="G12" s="48" t="s">
        <v>75</v>
      </c>
      <c r="H12" s="48" t="s">
        <v>70</v>
      </c>
      <c r="I12" s="49">
        <v>70.944991037199998</v>
      </c>
      <c r="J12" s="49">
        <v>52.177557041900002</v>
      </c>
      <c r="K12" s="50">
        <v>324.76608695652169</v>
      </c>
      <c r="L12" s="51">
        <v>1.9049275362318849</v>
      </c>
      <c r="M12" s="52"/>
    </row>
    <row r="13" spans="1:13" x14ac:dyDescent="0.25">
      <c r="A13" s="47">
        <v>12</v>
      </c>
      <c r="B13" s="48" t="s">
        <v>95</v>
      </c>
      <c r="C13" s="48" t="s">
        <v>87</v>
      </c>
      <c r="D13" s="48" t="s">
        <v>82</v>
      </c>
      <c r="E13" s="48">
        <v>407.79199999999997</v>
      </c>
      <c r="F13" s="48" t="s">
        <v>74</v>
      </c>
      <c r="G13" s="48" t="s">
        <v>75</v>
      </c>
      <c r="H13" s="48" t="s">
        <v>96</v>
      </c>
      <c r="I13" s="49">
        <v>71.189266014799998</v>
      </c>
      <c r="J13" s="49">
        <v>51.502387030100003</v>
      </c>
      <c r="K13" s="50">
        <v>320.09130434782605</v>
      </c>
      <c r="L13" s="51">
        <v>2.1377536231884036</v>
      </c>
      <c r="M13" s="52"/>
    </row>
    <row r="14" spans="1:13" x14ac:dyDescent="0.25">
      <c r="A14" s="47">
        <v>40</v>
      </c>
      <c r="B14" s="48" t="s">
        <v>97</v>
      </c>
      <c r="C14" s="48" t="s">
        <v>87</v>
      </c>
      <c r="D14" s="48" t="s">
        <v>82</v>
      </c>
      <c r="E14" s="48">
        <v>363.714</v>
      </c>
      <c r="F14" s="48" t="s">
        <v>74</v>
      </c>
      <c r="G14" s="48" t="s">
        <v>75</v>
      </c>
      <c r="H14" s="48" t="s">
        <v>96</v>
      </c>
      <c r="I14" s="49">
        <v>71.638231007399995</v>
      </c>
      <c r="J14" s="49">
        <v>51.1242069583</v>
      </c>
      <c r="K14" s="50">
        <v>319.61391304347825</v>
      </c>
      <c r="L14" s="51">
        <v>2.6685507246376794</v>
      </c>
      <c r="M14" s="52"/>
    </row>
    <row r="15" spans="1:13" x14ac:dyDescent="0.25">
      <c r="A15" s="47">
        <v>39</v>
      </c>
      <c r="B15" s="48" t="s">
        <v>98</v>
      </c>
      <c r="C15" s="48" t="s">
        <v>99</v>
      </c>
      <c r="D15" s="48" t="s">
        <v>82</v>
      </c>
      <c r="E15" s="48">
        <v>389</v>
      </c>
      <c r="F15" s="48" t="s">
        <v>68</v>
      </c>
      <c r="G15" s="48" t="s">
        <v>100</v>
      </c>
      <c r="H15" s="48" t="s">
        <v>96</v>
      </c>
      <c r="I15" s="49">
        <v>71.946380026599996</v>
      </c>
      <c r="J15" s="49">
        <v>50.973707959099997</v>
      </c>
      <c r="K15" s="50">
        <v>311.00173913043471</v>
      </c>
      <c r="L15" s="51">
        <v>2.7411594202898537</v>
      </c>
      <c r="M15" s="52"/>
    </row>
    <row r="16" spans="1:13" x14ac:dyDescent="0.25">
      <c r="A16" s="47">
        <v>38</v>
      </c>
      <c r="B16" s="48" t="s">
        <v>101</v>
      </c>
      <c r="C16" s="48" t="s">
        <v>72</v>
      </c>
      <c r="D16" s="48" t="s">
        <v>73</v>
      </c>
      <c r="E16" s="48">
        <v>445.99400000000003</v>
      </c>
      <c r="F16" s="48" t="s">
        <v>74</v>
      </c>
      <c r="G16" s="48" t="s">
        <v>75</v>
      </c>
      <c r="H16" s="48" t="s">
        <v>96</v>
      </c>
      <c r="I16" s="49">
        <v>72.429722975900006</v>
      </c>
      <c r="J16" s="49">
        <v>50.645989039900002</v>
      </c>
      <c r="K16" s="50">
        <v>322.30956521739131</v>
      </c>
      <c r="L16" s="51">
        <v>2.394710144927537</v>
      </c>
      <c r="M16" s="52"/>
    </row>
    <row r="17" spans="1:13" x14ac:dyDescent="0.25">
      <c r="A17" s="47">
        <v>37</v>
      </c>
      <c r="B17" s="48" t="s">
        <v>102</v>
      </c>
      <c r="C17" s="48" t="s">
        <v>72</v>
      </c>
      <c r="D17" s="48" t="s">
        <v>73</v>
      </c>
      <c r="E17" s="48">
        <v>555.02300000000002</v>
      </c>
      <c r="F17" s="48" t="s">
        <v>74</v>
      </c>
      <c r="G17" s="48" t="s">
        <v>75</v>
      </c>
      <c r="H17" s="48" t="s">
        <v>96</v>
      </c>
      <c r="I17" s="49">
        <v>72.769722975799993</v>
      </c>
      <c r="J17" s="49">
        <v>50.296371979600003</v>
      </c>
      <c r="K17" s="50">
        <v>314.74347826086961</v>
      </c>
      <c r="L17" s="51">
        <v>2.6939855072463756</v>
      </c>
      <c r="M17" s="52"/>
    </row>
    <row r="18" spans="1:13" x14ac:dyDescent="0.25">
      <c r="A18" s="47">
        <v>36</v>
      </c>
      <c r="B18" s="48" t="s">
        <v>103</v>
      </c>
      <c r="C18" s="48" t="s">
        <v>72</v>
      </c>
      <c r="D18" s="48" t="s">
        <v>82</v>
      </c>
      <c r="E18" s="48">
        <v>563</v>
      </c>
      <c r="F18" s="48" t="s">
        <v>74</v>
      </c>
      <c r="G18" s="48" t="s">
        <v>75</v>
      </c>
      <c r="H18" s="48" t="s">
        <v>96</v>
      </c>
      <c r="I18" s="49">
        <v>73.035984020699999</v>
      </c>
      <c r="J18" s="49">
        <v>49.958840031199998</v>
      </c>
      <c r="K18" s="50">
        <v>309.16695652173911</v>
      </c>
      <c r="L18" s="51">
        <v>2.9454347826086917</v>
      </c>
      <c r="M18" s="52"/>
    </row>
    <row r="19" spans="1:13" x14ac:dyDescent="0.25">
      <c r="A19" s="47">
        <v>35</v>
      </c>
      <c r="B19" s="48" t="s">
        <v>104</v>
      </c>
      <c r="C19" s="48" t="s">
        <v>105</v>
      </c>
      <c r="D19" s="48" t="s">
        <v>82</v>
      </c>
      <c r="E19" s="48">
        <v>659.52</v>
      </c>
      <c r="F19" s="48" t="s">
        <v>74</v>
      </c>
      <c r="G19" s="48" t="s">
        <v>75</v>
      </c>
      <c r="H19" s="48" t="s">
        <v>106</v>
      </c>
      <c r="I19" s="49">
        <v>73.430200014299999</v>
      </c>
      <c r="J19" s="49">
        <v>49.281147988500003</v>
      </c>
      <c r="K19" s="50">
        <v>292.70086956521737</v>
      </c>
      <c r="L19" s="51">
        <v>2.5162318840579734</v>
      </c>
      <c r="M19" s="52"/>
    </row>
    <row r="20" spans="1:13" x14ac:dyDescent="0.25">
      <c r="A20" s="47">
        <v>34</v>
      </c>
      <c r="B20" s="48" t="s">
        <v>107</v>
      </c>
      <c r="C20" s="48" t="s">
        <v>108</v>
      </c>
      <c r="D20" s="48" t="s">
        <v>67</v>
      </c>
      <c r="E20" s="48">
        <v>729.87599999999998</v>
      </c>
      <c r="F20" s="48" t="s">
        <v>74</v>
      </c>
      <c r="G20" s="48" t="s">
        <v>75</v>
      </c>
      <c r="H20" s="48" t="s">
        <v>106</v>
      </c>
      <c r="I20" s="49">
        <v>73.672595014799995</v>
      </c>
      <c r="J20" s="49">
        <v>48.876628959599998</v>
      </c>
      <c r="K20" s="50">
        <v>267.64086956521737</v>
      </c>
      <c r="L20" s="51">
        <v>2.4155072463768108</v>
      </c>
      <c r="M20" s="52"/>
    </row>
    <row r="21" spans="1:13" x14ac:dyDescent="0.25">
      <c r="A21" s="47">
        <v>33</v>
      </c>
      <c r="B21" s="48" t="s">
        <v>109</v>
      </c>
      <c r="C21" s="48" t="s">
        <v>110</v>
      </c>
      <c r="D21" s="48" t="s">
        <v>67</v>
      </c>
      <c r="E21" s="48">
        <v>817.19100000000003</v>
      </c>
      <c r="F21" s="48" t="s">
        <v>74</v>
      </c>
      <c r="G21" s="48" t="s">
        <v>75</v>
      </c>
      <c r="H21" s="48" t="s">
        <v>106</v>
      </c>
      <c r="I21" s="49">
        <v>73.727463958800001</v>
      </c>
      <c r="J21" s="49">
        <v>48.439397038899997</v>
      </c>
      <c r="K21" s="50">
        <v>247.05478260869563</v>
      </c>
      <c r="L21" s="51">
        <v>2.8862318840579708</v>
      </c>
      <c r="M21" s="52"/>
    </row>
    <row r="22" spans="1:13" x14ac:dyDescent="0.25">
      <c r="A22" s="47">
        <v>32</v>
      </c>
      <c r="B22" s="48" t="s">
        <v>111</v>
      </c>
      <c r="C22" s="48" t="s">
        <v>112</v>
      </c>
      <c r="D22" s="48" t="s">
        <v>82</v>
      </c>
      <c r="E22" s="48">
        <v>724.86900000000003</v>
      </c>
      <c r="F22" s="48" t="s">
        <v>74</v>
      </c>
      <c r="G22" s="48" t="s">
        <v>75</v>
      </c>
      <c r="H22" s="48" t="s">
        <v>113</v>
      </c>
      <c r="I22" s="49">
        <v>73.913577999899999</v>
      </c>
      <c r="J22" s="49">
        <v>48.038066988799997</v>
      </c>
      <c r="K22" s="50">
        <v>247.05478260869563</v>
      </c>
      <c r="L22" s="51">
        <v>2.8862318840579708</v>
      </c>
      <c r="M22" s="52"/>
    </row>
    <row r="23" spans="1:13" x14ac:dyDescent="0.25">
      <c r="A23" s="47">
        <v>31</v>
      </c>
      <c r="B23" s="48" t="s">
        <v>114</v>
      </c>
      <c r="C23" s="48" t="s">
        <v>115</v>
      </c>
      <c r="D23" s="48" t="s">
        <v>82</v>
      </c>
      <c r="E23" s="48">
        <v>614.74199999999996</v>
      </c>
      <c r="F23" s="48" t="s">
        <v>74</v>
      </c>
      <c r="G23" s="48" t="s">
        <v>75</v>
      </c>
      <c r="H23" s="48" t="s">
        <v>113</v>
      </c>
      <c r="I23" s="49">
        <v>74.325937964000005</v>
      </c>
      <c r="J23" s="49">
        <v>47.674313010600002</v>
      </c>
      <c r="K23" s="50">
        <v>208.15304347826086</v>
      </c>
      <c r="L23" s="51">
        <v>4.2858695652173875</v>
      </c>
      <c r="M23" s="52"/>
    </row>
    <row r="24" spans="1:13" x14ac:dyDescent="0.25">
      <c r="A24" s="47">
        <v>30</v>
      </c>
      <c r="B24" s="48" t="s">
        <v>116</v>
      </c>
      <c r="C24" s="48" t="s">
        <v>117</v>
      </c>
      <c r="D24" s="48" t="s">
        <v>82</v>
      </c>
      <c r="E24" s="48">
        <v>597.40899999999999</v>
      </c>
      <c r="F24" s="48" t="s">
        <v>118</v>
      </c>
      <c r="G24" s="48" t="s">
        <v>119</v>
      </c>
      <c r="H24" s="48" t="s">
        <v>120</v>
      </c>
      <c r="I24" s="49">
        <v>74.724579015700002</v>
      </c>
      <c r="J24" s="49">
        <v>47.354803998000001</v>
      </c>
      <c r="K24" s="50">
        <v>197.0052173913044</v>
      </c>
      <c r="L24" s="51">
        <v>4.9226086956521664</v>
      </c>
      <c r="M24" s="52"/>
    </row>
    <row r="25" spans="1:13" x14ac:dyDescent="0.25">
      <c r="A25" s="47">
        <v>29</v>
      </c>
      <c r="B25" s="48" t="s">
        <v>121</v>
      </c>
      <c r="C25" s="48" t="s">
        <v>122</v>
      </c>
      <c r="D25" s="48" t="s">
        <v>123</v>
      </c>
      <c r="E25" s="48">
        <v>417.68900000000002</v>
      </c>
      <c r="F25" s="48" t="s">
        <v>118</v>
      </c>
      <c r="G25" s="48" t="s">
        <v>124</v>
      </c>
      <c r="H25" s="48" t="s">
        <v>120</v>
      </c>
      <c r="I25" s="49">
        <v>74.949859008199994</v>
      </c>
      <c r="J25" s="49">
        <v>46.938372021500001</v>
      </c>
      <c r="K25" s="50">
        <v>177.61391304347822</v>
      </c>
      <c r="L25" s="51">
        <v>6.5991304347826079</v>
      </c>
      <c r="M25" s="52"/>
    </row>
    <row r="26" spans="1:13" x14ac:dyDescent="0.25">
      <c r="A26" s="47">
        <v>28</v>
      </c>
      <c r="B26" s="48" t="s">
        <v>125</v>
      </c>
      <c r="C26" s="48" t="s">
        <v>126</v>
      </c>
      <c r="D26" s="48" t="s">
        <v>123</v>
      </c>
      <c r="E26" s="48">
        <v>373</v>
      </c>
      <c r="F26" s="48" t="s">
        <v>118</v>
      </c>
      <c r="G26" s="48" t="s">
        <v>124</v>
      </c>
      <c r="H26" s="48" t="s">
        <v>120</v>
      </c>
      <c r="I26" s="49">
        <v>74.546122010800005</v>
      </c>
      <c r="J26" s="49">
        <v>46.748831039300001</v>
      </c>
      <c r="K26" s="50">
        <v>177.61391304347822</v>
      </c>
      <c r="L26" s="51">
        <v>6.5991304347826079</v>
      </c>
      <c r="M26" s="52"/>
    </row>
    <row r="27" spans="1:13" x14ac:dyDescent="0.25">
      <c r="A27" s="47">
        <v>27</v>
      </c>
      <c r="B27" s="48" t="s">
        <v>127</v>
      </c>
      <c r="C27" s="48" t="s">
        <v>128</v>
      </c>
      <c r="D27" s="48" t="s">
        <v>123</v>
      </c>
      <c r="E27" s="48">
        <v>349.68599999999998</v>
      </c>
      <c r="F27" s="48" t="s">
        <v>118</v>
      </c>
      <c r="G27" s="48" t="s">
        <v>124</v>
      </c>
      <c r="H27" s="48" t="s">
        <v>113</v>
      </c>
      <c r="I27" s="49">
        <v>74.180829031399995</v>
      </c>
      <c r="J27" s="49">
        <v>46.550232991599998</v>
      </c>
      <c r="K27" s="50">
        <v>175.5078260869565</v>
      </c>
      <c r="L27" s="51">
        <v>6.5717391304347892</v>
      </c>
      <c r="M27" s="52"/>
    </row>
    <row r="28" spans="1:13" x14ac:dyDescent="0.25">
      <c r="A28" s="47">
        <v>26</v>
      </c>
      <c r="B28" s="48" t="s">
        <v>129</v>
      </c>
      <c r="C28" s="48" t="s">
        <v>130</v>
      </c>
      <c r="D28" s="48" t="s">
        <v>123</v>
      </c>
      <c r="E28" s="48">
        <v>344.27199999999999</v>
      </c>
      <c r="F28" s="48" t="s">
        <v>118</v>
      </c>
      <c r="G28" s="48" t="s">
        <v>124</v>
      </c>
      <c r="H28" s="48" t="s">
        <v>131</v>
      </c>
      <c r="I28" s="49">
        <v>73.684135973500005</v>
      </c>
      <c r="J28" s="49">
        <v>46.254583988299999</v>
      </c>
      <c r="K28" s="50">
        <v>168.09391304347827</v>
      </c>
      <c r="L28" s="51">
        <v>7.4700724637681111</v>
      </c>
      <c r="M28" s="52"/>
    </row>
    <row r="29" spans="1:13" x14ac:dyDescent="0.25">
      <c r="A29" s="47">
        <v>25</v>
      </c>
      <c r="B29" s="48" t="s">
        <v>132</v>
      </c>
      <c r="C29" s="48" t="s">
        <v>133</v>
      </c>
      <c r="D29" s="48" t="s">
        <v>123</v>
      </c>
      <c r="E29" s="48">
        <v>342.673</v>
      </c>
      <c r="F29" s="48" t="s">
        <v>118</v>
      </c>
      <c r="G29" s="48" t="s">
        <v>123</v>
      </c>
      <c r="H29" s="48" t="s">
        <v>113</v>
      </c>
      <c r="I29" s="49">
        <v>73.406297005699997</v>
      </c>
      <c r="J29" s="49">
        <v>45.584747968199999</v>
      </c>
      <c r="K29" s="50">
        <v>180.21391304347827</v>
      </c>
      <c r="L29" s="51">
        <v>8.1524637681159486</v>
      </c>
      <c r="M29" s="52"/>
    </row>
    <row r="30" spans="1:13" x14ac:dyDescent="0.25">
      <c r="A30" s="47">
        <v>24</v>
      </c>
      <c r="B30" s="48" t="s">
        <v>134</v>
      </c>
      <c r="C30" s="48" t="s">
        <v>135</v>
      </c>
      <c r="D30" s="48" t="s">
        <v>67</v>
      </c>
      <c r="E30" s="48">
        <v>363.387</v>
      </c>
      <c r="F30" s="48" t="s">
        <v>118</v>
      </c>
      <c r="G30" s="48" t="s">
        <v>136</v>
      </c>
      <c r="H30" s="48" t="s">
        <v>113</v>
      </c>
      <c r="I30" s="49">
        <v>73.7403409928</v>
      </c>
      <c r="J30" s="49">
        <v>45.324224000800001</v>
      </c>
      <c r="K30" s="50">
        <v>192.13565217391309</v>
      </c>
      <c r="L30" s="51">
        <v>9.0911594202898396</v>
      </c>
      <c r="M30" s="52"/>
    </row>
    <row r="31" spans="1:13" x14ac:dyDescent="0.25">
      <c r="A31" s="47">
        <v>23</v>
      </c>
      <c r="B31" s="48" t="s">
        <v>137</v>
      </c>
      <c r="C31" s="48" t="s">
        <v>135</v>
      </c>
      <c r="D31" s="48" t="s">
        <v>67</v>
      </c>
      <c r="E31" s="48">
        <v>365.97399999999999</v>
      </c>
      <c r="F31" s="48" t="s">
        <v>118</v>
      </c>
      <c r="G31" s="48" t="s">
        <v>136</v>
      </c>
      <c r="H31" s="48" t="s">
        <v>113</v>
      </c>
      <c r="I31" s="49">
        <v>74.015290969999995</v>
      </c>
      <c r="J31" s="49">
        <v>44.9767849781</v>
      </c>
      <c r="K31" s="50">
        <v>234.61913043478259</v>
      </c>
      <c r="L31" s="51">
        <v>9.8801449275362341</v>
      </c>
      <c r="M31" s="52"/>
    </row>
    <row r="32" spans="1:13" x14ac:dyDescent="0.25">
      <c r="A32" s="47">
        <v>22</v>
      </c>
      <c r="B32" s="48" t="s">
        <v>138</v>
      </c>
      <c r="C32" s="48" t="s">
        <v>139</v>
      </c>
      <c r="D32" s="48" t="s">
        <v>123</v>
      </c>
      <c r="E32" s="48">
        <v>526.99699999999996</v>
      </c>
      <c r="F32" s="48" t="s">
        <v>118</v>
      </c>
      <c r="G32" s="48" t="s">
        <v>136</v>
      </c>
      <c r="H32" s="48" t="s">
        <v>113</v>
      </c>
      <c r="I32" s="49">
        <v>73.925333032400005</v>
      </c>
      <c r="J32" s="49">
        <v>44.535833001100002</v>
      </c>
      <c r="K32" s="50">
        <v>229.1617391304348</v>
      </c>
      <c r="L32" s="51">
        <v>9.625579710144935</v>
      </c>
      <c r="M32" s="52"/>
    </row>
    <row r="33" spans="1:13" x14ac:dyDescent="0.25">
      <c r="A33" s="47">
        <v>21</v>
      </c>
      <c r="B33" s="48" t="s">
        <v>140</v>
      </c>
      <c r="C33" s="48" t="s">
        <v>141</v>
      </c>
      <c r="D33" s="48" t="s">
        <v>123</v>
      </c>
      <c r="E33" s="48">
        <v>397.08199999999999</v>
      </c>
      <c r="F33" s="48" t="s">
        <v>142</v>
      </c>
      <c r="G33" s="48" t="s">
        <v>136</v>
      </c>
      <c r="H33" s="48" t="s">
        <v>113</v>
      </c>
      <c r="I33" s="49">
        <v>73.699562028100004</v>
      </c>
      <c r="J33" s="49">
        <v>44.154503010200003</v>
      </c>
      <c r="K33" s="50">
        <v>272.69913043478255</v>
      </c>
      <c r="L33" s="51">
        <v>9.9728985507246577</v>
      </c>
      <c r="M33" s="52"/>
    </row>
    <row r="34" spans="1:13" x14ac:dyDescent="0.25">
      <c r="A34" s="47">
        <v>20</v>
      </c>
      <c r="B34" s="48" t="s">
        <v>143</v>
      </c>
      <c r="C34" s="48" t="s">
        <v>144</v>
      </c>
      <c r="D34" s="48" t="s">
        <v>82</v>
      </c>
      <c r="E34" s="48">
        <v>418.16300000000001</v>
      </c>
      <c r="F34" s="48" t="s">
        <v>74</v>
      </c>
      <c r="G34" s="48" t="s">
        <v>75</v>
      </c>
      <c r="H34" s="48" t="s">
        <v>145</v>
      </c>
      <c r="I34" s="49">
        <v>73.578598005700002</v>
      </c>
      <c r="J34" s="49">
        <v>43.964948030199999</v>
      </c>
      <c r="K34" s="50">
        <v>300.51130434782607</v>
      </c>
      <c r="L34" s="51">
        <v>10.709420289855077</v>
      </c>
      <c r="M34" s="52"/>
    </row>
    <row r="35" spans="1:13" x14ac:dyDescent="0.25">
      <c r="A35" s="47">
        <v>19</v>
      </c>
      <c r="B35" s="48" t="s">
        <v>146</v>
      </c>
      <c r="C35" s="48" t="s">
        <v>147</v>
      </c>
      <c r="D35" s="48" t="s">
        <v>82</v>
      </c>
      <c r="E35" s="48">
        <v>457.96499999999997</v>
      </c>
      <c r="F35" s="48" t="s">
        <v>74</v>
      </c>
      <c r="G35" s="48" t="s">
        <v>148</v>
      </c>
      <c r="H35" s="48" t="s">
        <v>149</v>
      </c>
      <c r="I35" s="49">
        <v>73.788062017399994</v>
      </c>
      <c r="J35" s="49">
        <v>43.665833026199998</v>
      </c>
      <c r="K35" s="50">
        <v>300.51130434782607</v>
      </c>
      <c r="L35" s="51">
        <v>10.709420289855077</v>
      </c>
      <c r="M35" s="52"/>
    </row>
    <row r="36" spans="1:13" x14ac:dyDescent="0.25">
      <c r="A36" s="47">
        <v>18</v>
      </c>
      <c r="B36" s="48" t="s">
        <v>150</v>
      </c>
      <c r="C36" s="48" t="s">
        <v>151</v>
      </c>
      <c r="D36" s="48" t="s">
        <v>82</v>
      </c>
      <c r="E36" s="48">
        <v>511.61099999999999</v>
      </c>
      <c r="F36" s="48" t="s">
        <v>152</v>
      </c>
      <c r="G36" s="48" t="s">
        <v>75</v>
      </c>
      <c r="H36" s="48" t="s">
        <v>149</v>
      </c>
      <c r="I36" s="49">
        <v>73.574341004700003</v>
      </c>
      <c r="J36" s="49">
        <v>43.332402007699997</v>
      </c>
      <c r="K36" s="50">
        <v>335.10434782608684</v>
      </c>
      <c r="L36" s="51">
        <v>10.716159420289843</v>
      </c>
      <c r="M36" s="52"/>
    </row>
    <row r="37" spans="1:13" x14ac:dyDescent="0.25">
      <c r="A37" s="47">
        <v>17</v>
      </c>
      <c r="B37" s="48" t="s">
        <v>153</v>
      </c>
      <c r="C37" s="48" t="s">
        <v>154</v>
      </c>
      <c r="D37" s="48" t="s">
        <v>82</v>
      </c>
      <c r="E37" s="48">
        <v>628</v>
      </c>
      <c r="F37" s="48" t="s">
        <v>152</v>
      </c>
      <c r="G37" s="48" t="s">
        <v>75</v>
      </c>
      <c r="H37" s="48" t="s">
        <v>149</v>
      </c>
      <c r="I37" s="49">
        <v>73.245104961099997</v>
      </c>
      <c r="J37" s="49">
        <v>43.024129020099998</v>
      </c>
      <c r="K37" s="50">
        <v>318.89130434782601</v>
      </c>
      <c r="L37" s="51">
        <v>10.530289855072473</v>
      </c>
      <c r="M37" s="52"/>
    </row>
    <row r="38" spans="1:13" x14ac:dyDescent="0.25">
      <c r="A38" s="47">
        <v>16</v>
      </c>
      <c r="B38" s="48" t="s">
        <v>155</v>
      </c>
      <c r="C38" s="48" t="s">
        <v>156</v>
      </c>
      <c r="D38" s="48" t="s">
        <v>82</v>
      </c>
      <c r="E38" s="48">
        <v>670</v>
      </c>
      <c r="F38" s="48" t="s">
        <v>152</v>
      </c>
      <c r="G38" s="48" t="s">
        <v>148</v>
      </c>
      <c r="H38" s="48" t="s">
        <v>113</v>
      </c>
      <c r="I38" s="49">
        <v>73.185223974300001</v>
      </c>
      <c r="J38" s="49">
        <v>42.924486966800004</v>
      </c>
      <c r="K38" s="50">
        <v>431.70434782608697</v>
      </c>
      <c r="L38" s="51">
        <v>1.2213043478260874</v>
      </c>
      <c r="M38" s="52"/>
    </row>
    <row r="39" spans="1:13" x14ac:dyDescent="0.25">
      <c r="A39" s="47">
        <v>15</v>
      </c>
      <c r="B39" s="48" t="s">
        <v>157</v>
      </c>
      <c r="C39" s="48" t="s">
        <v>158</v>
      </c>
      <c r="D39" s="48" t="s">
        <v>82</v>
      </c>
      <c r="E39" s="48">
        <v>751.88400000000001</v>
      </c>
      <c r="F39" s="48" t="s">
        <v>159</v>
      </c>
      <c r="G39" s="48" t="s">
        <v>151</v>
      </c>
      <c r="H39" s="48" t="s">
        <v>160</v>
      </c>
      <c r="I39" s="49">
        <v>72.5784709956</v>
      </c>
      <c r="J39" s="49">
        <v>42.9302839749</v>
      </c>
      <c r="K39" s="50">
        <v>408.4113043478261</v>
      </c>
      <c r="L39" s="51">
        <v>4.1065942028985596</v>
      </c>
      <c r="M39" s="52"/>
    </row>
    <row r="40" spans="1:13" x14ac:dyDescent="0.25">
      <c r="A40" s="47">
        <v>14</v>
      </c>
      <c r="B40" s="48" t="s">
        <v>161</v>
      </c>
      <c r="C40" s="48" t="s">
        <v>162</v>
      </c>
      <c r="D40" s="48" t="s">
        <v>73</v>
      </c>
      <c r="E40" s="48">
        <v>605.37400000000002</v>
      </c>
      <c r="F40" s="48" t="s">
        <v>152</v>
      </c>
      <c r="G40" s="48" t="s">
        <v>75</v>
      </c>
      <c r="H40" s="48" t="s">
        <v>160</v>
      </c>
      <c r="I40" s="49">
        <v>71.999960001600002</v>
      </c>
      <c r="J40" s="49">
        <v>42.998902006100003</v>
      </c>
      <c r="K40" s="50">
        <v>423.59478260869554</v>
      </c>
      <c r="L40" s="51">
        <v>3.0024637681159403</v>
      </c>
      <c r="M40" s="52"/>
    </row>
    <row r="41" spans="1:13" x14ac:dyDescent="0.25">
      <c r="A41" s="47">
        <v>13</v>
      </c>
      <c r="B41" s="48" t="s">
        <v>163</v>
      </c>
      <c r="C41" s="48" t="s">
        <v>164</v>
      </c>
      <c r="D41" s="48" t="s">
        <v>82</v>
      </c>
      <c r="E41" s="48">
        <v>592.17499999999995</v>
      </c>
      <c r="F41" s="48" t="s">
        <v>165</v>
      </c>
      <c r="G41" s="48" t="s">
        <v>151</v>
      </c>
      <c r="H41" s="48" t="s">
        <v>160</v>
      </c>
      <c r="I41" s="49">
        <v>71.508186031099996</v>
      </c>
      <c r="J41" s="49">
        <v>42.938809962900002</v>
      </c>
      <c r="K41" s="50">
        <v>404.18434782608693</v>
      </c>
      <c r="L41" s="51">
        <v>5.6963043478260884</v>
      </c>
      <c r="M41" s="52"/>
    </row>
  </sheetData>
  <pageMargins left="0.7" right="0.7" top="0.75" bottom="0.75" header="0.3" footer="0.3"/>
  <pageSetup paperSize="9" scale="6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TC,TOC,TIC (1) </vt:lpstr>
      <vt:lpstr>LOI (2)</vt:lpstr>
      <vt:lpstr>Total Nitrogen (3)</vt:lpstr>
      <vt:lpstr>Dry bulk Density (4)</vt:lpstr>
      <vt:lpstr>Soil Moisture  (5)</vt:lpstr>
      <vt:lpstr>pH SU &amp; SN (6)</vt:lpstr>
      <vt:lpstr>EC SN (7)</vt:lpstr>
      <vt:lpstr>TOC and TN stocks (8)</vt:lpstr>
      <vt:lpstr>Annotation (9)</vt:lpstr>
      <vt:lpstr>'Annotation (9)'!Print_Area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Vadim Yapiyev</dc:creator>
  <cp:lastModifiedBy>Vadim Yapiyev</cp:lastModifiedBy>
  <dcterms:created xsi:type="dcterms:W3CDTF">2017-11-07T10:41:19Z</dcterms:created>
  <dcterms:modified xsi:type="dcterms:W3CDTF">2018-05-08T11:37:14Z</dcterms:modified>
</cp:coreProperties>
</file>