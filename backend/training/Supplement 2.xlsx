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firstSheet="8" activeTab="8" tabRatio="709"/>
  </bookViews>
  <sheets>
    <sheet r:id="rId1" name="TC,TOC,TIC (1) " sheetId="1"/>
    <sheet r:id="rId2" name="LOI (2)" sheetId="2"/>
    <sheet r:id="rId3" name="Total Nitrogen (3)" sheetId="3"/>
    <sheet r:id="rId4" name="Dry bulk Density (4)" sheetId="4"/>
    <sheet r:id="rId5" name="Soil Moisture  (5)" sheetId="5"/>
    <sheet r:id="rId6" name="pH SU &amp; SN (6)" sheetId="6"/>
    <sheet r:id="rId7" name="EC SN (7)" sheetId="7"/>
    <sheet r:id="rId8" name="TOC and TN stocks (8)" sheetId="8"/>
    <sheet r:id="rId9" name="Annotation (9)" sheetId="9"/>
  </sheets>
  <definedNames>
    <definedName name="_xlnm.Print_Area" localSheetId="8">'Annotation (9)'!$A$1:$L$41</definedName>
  </definedNames>
  <calcPr calcId="0" iterateCount="100" iterateDelta="0.001"/>
</workbook>
</file>

<file path=xl/sharedStrings.xml><?xml version="1.0" encoding="utf-8"?>
<sst xmlns="http://schemas.openxmlformats.org/spreadsheetml/2006/main" count="166" uniqueCount="166">
  <si>
    <t>MAY  2015</t>
  </si>
  <si>
    <t>SEPT 2015</t>
  </si>
  <si>
    <t>TC,  [g/kg]</t>
  </si>
  <si>
    <t>TOC,  [g/kg]</t>
  </si>
  <si>
    <t>TIC=TC-TOC, [g/kg]</t>
  </si>
  <si>
    <t>Samples</t>
  </si>
  <si>
    <t>TC (MAY)</t>
  </si>
  <si>
    <t>STDEV</t>
  </si>
  <si>
    <t>SE</t>
  </si>
  <si>
    <t>TOC (MAY)</t>
  </si>
  <si>
    <t>TIC</t>
  </si>
  <si>
    <t>TC (SEP)</t>
  </si>
  <si>
    <t xml:space="preserve">TOC(SEP) </t>
  </si>
  <si>
    <t>Sample #</t>
  </si>
  <si>
    <t>LOI, %(MAY)</t>
  </si>
  <si>
    <t>STDEV LOI(MAY)</t>
  </si>
  <si>
    <t>LOI, % (SEP)</t>
  </si>
  <si>
    <t>STDEV LOI(SEP)</t>
  </si>
  <si>
    <t>TN</t>
  </si>
  <si>
    <t>May # 1</t>
  </si>
  <si>
    <t>May # 2</t>
  </si>
  <si>
    <t>Mean May</t>
  </si>
  <si>
    <t>STDEV May</t>
  </si>
  <si>
    <t>Sep # 1</t>
  </si>
  <si>
    <t>Sep # 2</t>
  </si>
  <si>
    <t>Mean Sep</t>
  </si>
  <si>
    <t>STDEVSept</t>
  </si>
  <si>
    <t>Mean TN 2015</t>
  </si>
  <si>
    <t>STDEV May Sept</t>
  </si>
  <si>
    <t>g/kg</t>
  </si>
  <si>
    <t>Dry bulk density, g/kg (MAY)</t>
  </si>
  <si>
    <t>Dry bulk density, g/kg, LOI(SEP)</t>
  </si>
  <si>
    <t>Date and time</t>
  </si>
  <si>
    <t>Soil Moisture gravimetric, % (MAY)</t>
  </si>
  <si>
    <t>Soil Moisture volumetric, (cm3/cm3) (MAY)</t>
  </si>
  <si>
    <t>Soil Moisture gravimetric, % (SEP)</t>
  </si>
  <si>
    <t>Soil Moisture volumetric, (cm3/cm3) (September)</t>
  </si>
  <si>
    <t>pH SN   (MAY)</t>
  </si>
  <si>
    <t>pH SN (MAY)  STDEV</t>
  </si>
  <si>
    <t>pH SN   (SEP)</t>
  </si>
  <si>
    <t>pH SN (SEP)  STDEV</t>
  </si>
  <si>
    <t>pH SU   (MAY)</t>
  </si>
  <si>
    <t>pH SU (MAY)  STDEV</t>
  </si>
  <si>
    <t>pH SU   (SEP)</t>
  </si>
  <si>
    <t>pH SU (SEP)  STDEV</t>
  </si>
  <si>
    <t>EC SN   (MAY), μS/cm</t>
  </si>
  <si>
    <t>EC SN (MAY)  STDEV, μS/cm</t>
  </si>
  <si>
    <t>EC SN   (SEP), μS/cm</t>
  </si>
  <si>
    <t>EC SN (SEP)  STDEV, μS/cm</t>
  </si>
  <si>
    <t>missing</t>
  </si>
  <si>
    <t>Total organic carbon</t>
  </si>
  <si>
    <t>Total nitrogen</t>
  </si>
  <si>
    <t>tC/ha</t>
  </si>
  <si>
    <t>Internal sample #</t>
  </si>
  <si>
    <t>Location</t>
  </si>
  <si>
    <t>Site Description</t>
  </si>
  <si>
    <t>Land Use /Cover</t>
  </si>
  <si>
    <t>Elevation, meters (msl)</t>
  </si>
  <si>
    <t xml:space="preserve">Biome </t>
  </si>
  <si>
    <t>Environmental Feature</t>
  </si>
  <si>
    <t>Soil type</t>
  </si>
  <si>
    <t>Longtitude</t>
  </si>
  <si>
    <t xml:space="preserve">Latitude </t>
  </si>
  <si>
    <t>Mean total precipitation, mm</t>
  </si>
  <si>
    <t>Mean annual temperature, ºC</t>
  </si>
  <si>
    <t>Petropavlovsk town</t>
  </si>
  <si>
    <t>shrubland near Petrapavlovsk city</t>
  </si>
  <si>
    <t>shrub cover</t>
  </si>
  <si>
    <t xml:space="preserve">temperate shrubland </t>
  </si>
  <si>
    <t>scrubland</t>
  </si>
  <si>
    <t xml:space="preserve">chernozem </t>
  </si>
  <si>
    <t>Bishkul village</t>
  </si>
  <si>
    <t>cropland</t>
  </si>
  <si>
    <t>crop cover</t>
  </si>
  <si>
    <t>temperate grassland</t>
  </si>
  <si>
    <t>steppe soil</t>
  </si>
  <si>
    <t>Astrakhanka village</t>
  </si>
  <si>
    <t>edge of birch forest</t>
  </si>
  <si>
    <t>tree cover</t>
  </si>
  <si>
    <t>temperate broadleaf forest</t>
  </si>
  <si>
    <t>broadleaf forest</t>
  </si>
  <si>
    <t>Rublivka village</t>
  </si>
  <si>
    <t>grass cover</t>
  </si>
  <si>
    <t>Roshinskoe village</t>
  </si>
  <si>
    <t xml:space="preserve">grassland </t>
  </si>
  <si>
    <t>Obukhovka village</t>
  </si>
  <si>
    <t>Kokshetau town</t>
  </si>
  <si>
    <t>perennial grassland</t>
  </si>
  <si>
    <t>Kenesary village</t>
  </si>
  <si>
    <t>Shuchinsk village</t>
  </si>
  <si>
    <t>Makinka village</t>
  </si>
  <si>
    <t xml:space="preserve">pine-birch forest </t>
  </si>
  <si>
    <t>temperate mixed forest</t>
  </si>
  <si>
    <t>mixed forest</t>
  </si>
  <si>
    <t>Krasniy Gornyak village</t>
  </si>
  <si>
    <t>Bozaigyr</t>
  </si>
  <si>
    <t>kastanozem</t>
  </si>
  <si>
    <t>near Astana city</t>
  </si>
  <si>
    <t>30 km to Astana city</t>
  </si>
  <si>
    <t>human planted shrubs</t>
  </si>
  <si>
    <t xml:space="preserve">planted shrubland </t>
  </si>
  <si>
    <t>Anar village</t>
  </si>
  <si>
    <t>Oshgandy village</t>
  </si>
  <si>
    <t>near Karaganda city</t>
  </si>
  <si>
    <t>Kyzylkoy village</t>
  </si>
  <si>
    <t>perennial grass</t>
  </si>
  <si>
    <t>calcisol + solonetz</t>
  </si>
  <si>
    <t>Aksu-Ayuly village</t>
  </si>
  <si>
    <t>chestnut, rich, perennial grassland</t>
  </si>
  <si>
    <t>Batystau village</t>
  </si>
  <si>
    <t>perennial grassland with small shrubs</t>
  </si>
  <si>
    <t>Zharylgap batyr</t>
  </si>
  <si>
    <t>rocky grassland, small hills</t>
  </si>
  <si>
    <t>arenosol</t>
  </si>
  <si>
    <t>Eski Karabulak</t>
  </si>
  <si>
    <t>rocky grassland</t>
  </si>
  <si>
    <t>Bektau Ata Mountains</t>
  </si>
  <si>
    <t>rocky, near mountains</t>
  </si>
  <si>
    <t>temperate desert</t>
  </si>
  <si>
    <t xml:space="preserve">temperate desert </t>
  </si>
  <si>
    <t>arenosol + solonetz</t>
  </si>
  <si>
    <t>Konyrat settlement</t>
  </si>
  <si>
    <t>15 km from Balkhash, rocky soil</t>
  </si>
  <si>
    <t xml:space="preserve">barren land </t>
  </si>
  <si>
    <t>desert</t>
  </si>
  <si>
    <t>Balkhash town</t>
  </si>
  <si>
    <t>little vegetation, near Balkhash town</t>
  </si>
  <si>
    <t>Gulshat, Lake Balkhash</t>
  </si>
  <si>
    <t>dry, little vegetation</t>
  </si>
  <si>
    <t>Saryshagan, Lake Balkhash</t>
  </si>
  <si>
    <t>dry, solonchak, desert shrubs</t>
  </si>
  <si>
    <t>solonchak + solonetz</t>
  </si>
  <si>
    <t>Zhastar, Lake Balkhash</t>
  </si>
  <si>
    <t>rocky, solonchak, depression</t>
  </si>
  <si>
    <t>Akerme, Lake Balkhash</t>
  </si>
  <si>
    <t>dry, rocky</t>
  </si>
  <si>
    <t>desert scrubland</t>
  </si>
  <si>
    <t>Barylbaytal, Lake Balkhash</t>
  </si>
  <si>
    <t>Mirnyi</t>
  </si>
  <si>
    <t xml:space="preserve">dry, small ground unidentified shrubs </t>
  </si>
  <si>
    <t>Khantau</t>
  </si>
  <si>
    <t>dry, 30 m from the road, shrubs</t>
  </si>
  <si>
    <t>desert shrubland</t>
  </si>
  <si>
    <t>Kenes</t>
  </si>
  <si>
    <t>crop field between tree lines</t>
  </si>
  <si>
    <t>chernozem+ solonetz</t>
  </si>
  <si>
    <t>Birlik</t>
  </si>
  <si>
    <t>floodplain valley river Shu</t>
  </si>
  <si>
    <t>flood plain</t>
  </si>
  <si>
    <t>regosol</t>
  </si>
  <si>
    <t>Tasytkel</t>
  </si>
  <si>
    <t>grassland</t>
  </si>
  <si>
    <t xml:space="preserve">temperate grassland </t>
  </si>
  <si>
    <t>Zhdanovo</t>
  </si>
  <si>
    <t>200 m from the highway</t>
  </si>
  <si>
    <t>Merke</t>
  </si>
  <si>
    <t>flood plain the Valley of Shu river</t>
  </si>
  <si>
    <t>Kokdonen</t>
  </si>
  <si>
    <t>50-70 m from the road, cropland</t>
  </si>
  <si>
    <t xml:space="preserve">montane  temperate grassland </t>
  </si>
  <si>
    <t>umbrisol</t>
  </si>
  <si>
    <t>Akyrtobe</t>
  </si>
  <si>
    <t>grass, cereal monoculture, mountain valley</t>
  </si>
  <si>
    <t>5 km from Taraz town</t>
  </si>
  <si>
    <t>cropland, 5 km from Taraz, perenial grass</t>
  </si>
  <si>
    <t xml:space="preserve">montane temperate grassland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</si>
</sst>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0.0000"/>
    <numFmt numFmtId="176" formatCode="0.0"/>
  </numFmts>
  <fonts count="9">
    <font>
      <b val="0"/>
      <i val="0"/>
      <sz val="11"/>
      <color rgb="FF000000"/>
      <name val="Calibri"/>
    </font>
    <font>
      <b val="0"/>
      <i val="0"/>
      <sz val="11"/>
      <color theme="1"/>
      <name val="Calibri"/>
      <scheme val="minor"/>
    </font>
    <font>
      <b val="0"/>
      <i val="0"/>
      <sz val="11"/>
      <color rgb="FF000000"/>
      <name val="Calibri"/>
      <scheme val="minor"/>
    </font>
    <font>
      <b val="0"/>
      <i val="0"/>
      <sz val="12"/>
      <color rgb="FF000000"/>
      <name val="Arial"/>
    </font>
    <font>
      <b/>
      <i val="0"/>
      <sz val="10"/>
      <color auto="1"/>
      <name val="Times New Roman"/>
    </font>
    <font>
      <b/>
      <i val="0"/>
      <sz val="10"/>
      <color rgb="FF000000"/>
      <name val="Times New Roman"/>
    </font>
    <font>
      <b val="0"/>
      <i val="0"/>
      <sz val="10"/>
      <color auto="1"/>
      <name val="Times New Roman"/>
    </font>
    <font>
      <b val="0"/>
      <i val="0"/>
      <sz val="10"/>
      <color rgb="FF000000"/>
      <name val="Times New Roman"/>
    </font>
    <font>
      <b val="0"/>
      <i val="0"/>
      <sz val="10"/>
      <color rgb="FFFF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0" fillId="0" borderId="0"/>
    <xf numFmtId="0" fontId="1" fillId="0" borderId="0"/>
  </cellStyleXfs>
  <cellXfs count="53">
    <xf numFmtId="0" fontId="0" fillId="0" borderId="0" xfId="0"/>
    <xf numFmtId="0" fontId="3" fillId="0" borderId="4" xfId="1">
      <alignment horizontal="center" vertical="bottom"/>
    </xf>
    <xf numFmtId="49" fontId="3" fillId="0" borderId="2" xfId="1">
      <alignment horizontal="center" vertical="bottom"/>
    </xf>
    <xf numFmtId="49" fontId="3" fillId="0" borderId="6" xfId="1">
      <alignment horizontal="center" vertical="bottom"/>
    </xf>
    <xf numFmtId="49" fontId="3" fillId="0" borderId="7" xfId="1">
      <alignment horizontal="center" vertical="bottom"/>
    </xf>
    <xf numFmtId="49" fontId="3" fillId="0" borderId="1" xfId="1">
      <alignment horizontal="center" vertical="bottom"/>
    </xf>
    <xf numFmtId="0" fontId="3" fillId="0" borderId="5" xfId="1">
      <alignment horizontal="center" vertical="bottom"/>
    </xf>
    <xf numFmtId="0" fontId="3" fillId="0" borderId="1" xfId="1">
      <alignment horizontal="center" vertical="bottom"/>
    </xf>
    <xf numFmtId="0" fontId="3" fillId="0" borderId="1" xfId="1"/>
    <xf numFmtId="0" fontId="3" fillId="0" borderId="2" xfId="1">
      <alignment horizontal="center" vertical="center"/>
    </xf>
    <xf numFmtId="2" fontId="3" fillId="0" borderId="1" xfId="1"/>
    <xf numFmtId="2" fontId="3" fillId="0" borderId="2" xfId="1">
      <alignment horizontal="right" vertical="center"/>
    </xf>
    <xf numFmtId="0" fontId="0" fillId="0" borderId="0" xfId="1"/>
    <xf numFmtId="0" fontId="2" fillId="2" borderId="1" xfId="1">
      <alignment horizontal="center" vertical="bottom"/>
    </xf>
    <xf numFmtId="0" fontId="2" fillId="0" borderId="1" xfId="1"/>
    <xf numFmtId="0" fontId="2" fillId="0" borderId="2" xfId="1">
      <alignment horizontal="center" vertical="center"/>
    </xf>
    <xf numFmtId="171" fontId="2" fillId="0" borderId="1" xfId="1"/>
    <xf numFmtId="0" fontId="1" fillId="0" borderId="1" xfId="2"/>
    <xf numFmtId="0" fontId="1" fillId="0" borderId="1" xfId="2">
      <alignment horizontal="center" vertical="center"/>
    </xf>
    <xf numFmtId="2" fontId="1" fillId="0" borderId="1" xfId="2">
      <alignment horizontal="center" vertical="center"/>
    </xf>
    <xf numFmtId="2" fontId="1" fillId="0" borderId="1" xfId="2"/>
    <xf numFmtId="2" fontId="1" fillId="0" borderId="1" xfId="2">
      <alignment horizontal="center" vertical="bottom"/>
    </xf>
    <xf numFmtId="0" fontId="1" fillId="0" borderId="0" xfId="2"/>
    <xf numFmtId="0" fontId="2" fillId="0" borderId="1" xfId="1">
      <alignment horizontal="center" vertical="center"/>
    </xf>
    <xf numFmtId="0" fontId="2" fillId="2" borderId="1" xfId="1">
      <alignment horizontal="center" vertical="center"/>
    </xf>
    <xf numFmtId="22" fontId="2" fillId="0" borderId="1" xfId="0">
      <alignment horizontal="center" vertical="center"/>
    </xf>
    <xf numFmtId="171" fontId="2" fillId="0" borderId="1" xfId="1">
      <alignment horizontal="center" vertical="center"/>
    </xf>
    <xf numFmtId="0" fontId="0" fillId="2" borderId="1" xfId="2">
      <alignment horizontal="center" vertical="bottom"/>
    </xf>
    <xf numFmtId="4" fontId="0" fillId="2" borderId="1" xfId="2">
      <alignment horizontal="center" vertical="bottom"/>
    </xf>
    <xf numFmtId="0" fontId="1" fillId="0" borderId="1" xfId="2">
      <alignment horizontal="center" vertical="bottom"/>
    </xf>
    <xf numFmtId="0" fontId="0" fillId="0" borderId="0" xfId="0">
      <alignment horizontal="center" vertical="bottom"/>
    </xf>
    <xf numFmtId="4" fontId="1" fillId="0" borderId="1" xfId="2">
      <alignment horizontal="center" vertical="bottom"/>
    </xf>
    <xf numFmtId="2" fontId="0" fillId="0" borderId="1" xfId="0">
      <alignment horizontal="center" vertical="bottom"/>
    </xf>
    <xf numFmtId="0" fontId="0" fillId="0" borderId="1" xfId="2">
      <alignment horizontal="center" vertical="bottom"/>
    </xf>
    <xf numFmtId="2" fontId="0" fillId="2" borderId="1" xfId="2">
      <alignment horizontal="center" vertical="bottom"/>
    </xf>
    <xf numFmtId="0" fontId="0" fillId="0" borderId="0" xfId="0"/>
    <xf numFmtId="2" fontId="0" fillId="0" borderId="0" xfId="0">
      <alignment horizontal="center" vertical="bottom"/>
    </xf>
    <xf numFmtId="0" fontId="3" fillId="0" borderId="4" xfId="1">
      <alignment horizontal="center" vertical="center"/>
    </xf>
    <xf numFmtId="0" fontId="3" fillId="0" borderId="1" xfId="1">
      <alignment horizontal="center" vertical="center"/>
    </xf>
    <xf numFmtId="49" fontId="3" fillId="0" borderId="1" xfId="1">
      <alignment horizontal="center" vertical="center"/>
    </xf>
    <xf numFmtId="0" fontId="3" fillId="0" borderId="5" xfId="1">
      <alignment horizontal="center" vertical="center"/>
    </xf>
    <xf numFmtId="2" fontId="3" fillId="0" borderId="1" xfId="0">
      <alignment horizontal="center" vertical="center"/>
    </xf>
    <xf numFmtId="2" fontId="3" fillId="0" borderId="1" xfId="1">
      <alignment horizontal="center" vertical="center"/>
    </xf>
    <xf numFmtId="0" fontId="4" fillId="3" borderId="3" xfId="2">
      <alignment horizontal="center" vertical="bottom" wrapText="1"/>
    </xf>
    <xf numFmtId="0" fontId="5" fillId="3" borderId="3" xfId="2">
      <alignment horizontal="center" vertical="bottom" wrapText="1"/>
    </xf>
    <xf numFmtId="0" fontId="4" fillId="3" borderId="3" xfId="2">
      <alignment horizontal="center" vertical="center" wrapText="1"/>
    </xf>
    <xf numFmtId="0" fontId="6" fillId="3" borderId="0" xfId="2">
      <alignment horizontal="center" vertical="center"/>
    </xf>
    <xf numFmtId="0" fontId="7" fillId="3" borderId="0" xfId="2">
      <alignment horizontal="center" vertical="center"/>
    </xf>
    <xf numFmtId="171" fontId="7" fillId="3" borderId="0" xfId="2">
      <alignment horizontal="center" vertical="center"/>
    </xf>
    <xf numFmtId="1" fontId="6" fillId="3" borderId="0" xfId="2">
      <alignment horizontal="center" vertical="center"/>
    </xf>
    <xf numFmtId="176" fontId="6" fillId="3" borderId="0" xfId="2">
      <alignment horizontal="center" vertical="center"/>
    </xf>
    <xf numFmtId="176" fontId="8" fillId="3" borderId="0" xfId="2">
      <alignment horizontal="center" vertical="center"/>
    </xf>
    <xf numFmtId="0" fontId="1" fillId="3" borderId="0" xfId="2"/>
  </cellXfs>
  <cellStyles count="7">
    <cellStyle name="Normal" xfId="1"/>
    <cellStyle name="Normal 2" xfId="2"/>
    <cellStyle name="Normal 2 2" xfId="1"/>
    <cellStyle name="Normal 3" xfId="1"/>
    <cellStyle name="Normal 4" xfId="2"/>
    <cellStyle name="Normal 5" xfId="2"/>
    <cellStyle name="Normal 6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Relationship Id="rId11" Type="http://schemas.openxmlformats.org/officeDocument/2006/relationships/theme" Target="theme/theme1.xml"/><Relationship Id="rId12" Type="http://schemas.openxmlformats.org/officeDocument/2006/relationships/sharedStrings" Target="sharedStrings.xml"/><Relationship Id="rId13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en-GB"/>
  <c:roundedCorners val="0"/>
  <c:chart>
    <c:autoTitleDeleted val="1"/>
    <c:plotArea>
      <c:layout/>
      <c:barChart chartType="6">
        <c:ser seriesType="0">
          <c:idx val="0"/>
          <c:order val="0"/>
          <c:tx>
            <c:strRef>
              <c:f>'TOC and TN stocks'!#REF!</c:f>
            </c:strRef>
          </c:tx>
          <c:invertIfNegative val="0"/>
          <c:val>
            <c:numRef>
              <c:f>'TOC and TN stocks'!#REF!</c:f>
              <c:numCache>
                <c:formatCode>General</c:formatCode>
              </c:numCache>
            </c:numRef>
          </c:val>
          <c:extLst/>
          <c:spPr/>
        </c:ser>
        <c:ser seriesType="0">
          <c:idx val="1"/>
          <c:order val="1"/>
          <c:tx>
            <c:strRef>
              <c:f>'TOC and TN stocks'!#REF!</c:f>
            </c:strRef>
          </c:tx>
          <c:invertIfNegative val="0"/>
          <c:val>
            <c:numRef>
              <c:f>'TOC and TN stocks (8)'!$B$3:$B$42</c:f>
              <c:numCache>
                <c:formatCode>0.00</c:formatCode>
              </c:numCache>
            </c:numRef>
          </c:val>
          <c:extLst/>
          <c:spPr/>
        </c:ser>
        <c:ser seriesType="0">
          <c:idx val="2"/>
          <c:order val="2"/>
          <c:tx>
            <c:strRef>
              <c:f>'TOC and TN stocks'!#REF!</c:f>
            </c:strRef>
          </c:tx>
          <c:invertIfNegative val="0"/>
          <c:val>
            <c:numRef>
              <c:f>'TOC and TN stocks'!#REF!</c:f>
              <c:numCache>
                <c:formatCode>General</c:formatCode>
              </c:numCache>
            </c:numRef>
          </c:val>
          <c:extLst/>
          <c:spPr/>
        </c:ser>
        <c:ser seriesType="0">
          <c:idx val="3"/>
          <c:order val="3"/>
          <c:tx>
            <c:strRef>
              <c:f>'TC,TOC,TIC AVG,STDEV'!#REF!</c:f>
            </c:strRef>
          </c:tx>
          <c:invertIfNegative val="0"/>
          <c:val>
            <c:numRef>
              <c:f>'TC,TOC,TIC AVG,STDEV'!#REF!</c:f>
              <c:numCache>
                <c:formatCode>General</c:formatCode>
              </c:numCache>
            </c:numRef>
          </c:val>
          <c:extLst/>
          <c:spPr/>
        </c:ser>
        <c:axId val="78530435"/>
        <c:axId val="37341685"/>
        <c:barDir val="col"/>
        <c:grouping val="clustered"/>
        <c:gapWidth val="150"/>
        <c:varyColors val="0"/>
        <c:overlap val="0"/>
      </c:barChart>
      <c:catAx axisType="0">
        <c:axId val="78530435"/>
        <c:scaling>
          <c:orientation val="minMax"/>
        </c:scaling>
        <c:delete val="0"/>
        <c:axPos val="b"/>
        <c:numFmt formatCode="General"/>
        <c:majorTickMark val="out"/>
        <c:minorTickMark val="none"/>
        <c:tickLblPos val="nextTo"/>
        <c:crossAx val="37341685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37341685"/>
        <c:delete val="0"/>
        <c:majorTickMark val="out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.0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78530435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ln>
      <a:solidFill>
        <a:schemeClr val="tx1">
          <a:lumMod val="15000"/>
          <a:lumOff val="8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en-GB"/>
  <c:roundedCorners val="0"/>
  <c:chart>
    <c:autoTitleDeleted val="1"/>
    <c:plotArea>
      <c:layout/>
      <c:barChart chartType="6">
        <c:ser seriesType="0">
          <c:idx val="0"/>
          <c:order val="0"/>
          <c:tx>
            <c:strRef>
              <c:f>'TOC and TN stocks'!#REF!</c:f>
            </c:strRef>
          </c:tx>
          <c:invertIfNegative val="0"/>
          <c:errBars>
            <c:errBarType val="both"/>
            <c:errValType val="cust"/>
            <c:noEndCap val="0"/>
            <c:spPr>
              <a:ln>
                <a:solidFill>
                  <a:srgbClr val="595959"/>
                </a:solidFill>
              </a:ln>
            </c:spPr>
            <c:minus>
              <c:numRef>
                <c:f>'TOC and TN stocks'!#REF!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plus>
              <c:numRef>
                <c:f>'TOC and TN stocks'!#REF!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</c:errBars>
          <c:cat>
            <c:strRef>
              <c:f>'TOC and TN stocks (8)'!$A$3:$A$42</c:f>
            </c:strRef>
          </c:cat>
          <c:val>
            <c:numRef>
              <c:f>'TOC and TN stocks'!#REF!</c:f>
              <c:numCache>
                <c:formatCode>General</c:formatCode>
              </c:numCache>
            </c:numRef>
          </c:val>
          <c:extLst/>
          <c:spPr/>
        </c:ser>
        <c:ser seriesType="0">
          <c:idx val="1"/>
          <c:order val="1"/>
          <c:tx>
            <c:strRef>
              <c:f>'TOC and TN stocks (8)'!$C$2</c:f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errBars>
            <c:errBarType val="both"/>
            <c:errValType val="cust"/>
            <c:noEndCap val="0"/>
            <c:spPr>
              <a:ln>
                <a:solidFill>
                  <a:srgbClr val="595959"/>
                </a:solidFill>
              </a:ln>
            </c:spPr>
            <c:minus>
              <c:numRef>
                <c:f>'TOC and TN stocks'!#REF!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plus>
              <c:numRef>
                <c:f>'TOC and TN stocks'!#REF!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</c:errBars>
          <c:cat>
            <c:numRef>
              <c:f>'TOC and TN stocks (8)'!$A$3:$A$42</c:f>
              <c:numCache>
                <c:formatCode>General</c:formatCode>
              </c:numCache>
            </c:numRef>
          </c:cat>
          <c:val>
            <c:numRef>
              <c:f>'TOC and TN stocks (8)'!$C$3:$C$42</c:f>
              <c:numCache>
                <c:formatCode>0.00</c:formatCode>
              </c:numCache>
            </c:numRef>
          </c:val>
          <c:extLst/>
        </c:ser>
        <c:axId val="24715356"/>
        <c:axId val="57762824"/>
        <c:barDir val="col"/>
        <c:grouping val="clustered"/>
        <c:gapWidth val="150"/>
        <c:varyColors val="0"/>
        <c:overlap val="0"/>
      </c:barChart>
      <c:catAx axisType="0">
        <c:axId val="24715356"/>
        <c:scaling>
          <c:orientation val="minMax"/>
        </c:scaling>
        <c:delete val="0"/>
        <c:axPos val="b"/>
        <c:numFmt formatCode="General"/>
        <c:majorTickMark val="out"/>
        <c:minorTickMark val="none"/>
        <c:tickLblPos val="nextTo"/>
        <c:crossAx val="57762824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57762824"/>
        <c:delete val="0"/>
        <c:majorTickMark val="out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.0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24715356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ln>
      <a:solidFill>
        <a:schemeClr val="tx1">
          <a:lumMod val="15000"/>
          <a:lumOff val="8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en-GB"/>
  <c:roundedCorners val="0"/>
  <c:chart>
    <c:title>
      <c:tx>
        <c:rich>
          <a:bodyPr/>
          <a:lstStyle/>
          <a:p>
            <a:pPr>
              <a:defRPr/>
            </a:pPr>
            <a:r>
              <a:rPr/>
              <a:t>Soil Total</a:t>
            </a:r>
            <a:r>
              <a:rPr/>
              <a:t> Carbon Ratios May:September  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layoutTarget val="inner"/>
          <c:x val="0.08813250991676819"/>
          <c:y val="0.11932479011552906"/>
          <c:w val="0.8955333811653104"/>
          <c:h val="0.6608335275798278"/>
        </c:manualLayout>
      </c:layout>
      <c:scatterChart chartType="1">
        <c:ser seriesType="5">
          <c:idx val="0"/>
          <c:order val="0"/>
          <c:tx>
            <c:strRef>
              <c:f>'TC,TOC,TIC AVG,STDEV'!#REF!</c:f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0"/>
            <c:name>Linear(Series1)</c:name>
            <c:spPr/>
            <c:trendlineLbl>
              <c:txPr>
                <a:bodyPr/>
                <a:p>
                  <a:pPr>
                    <a:defRPr/>
                  </a:pPr>
                  <a:r>
                    <a:rPr/>
                    <a:t/>
                  </a:r>
                  <a:endParaRPr/>
                </a:p>
              </c:txPr>
            </c:trendlineLbl>
          </c:trendline>
          <c:trendline>
            <c:trendlineType val="linear"/>
            <c:dispRSqr val="1"/>
            <c:dispEq val="0"/>
            <c:trendlineLbl>
              <c:txPr>
                <a:bodyPr/>
                <a:p>
                  <a:pPr>
                    <a:defRPr/>
                  </a:pPr>
                  <a:r>
                    <a:rPr/>
                    <a:t/>
                  </a:r>
                  <a:endParaRPr/>
                </a:p>
              </c:txPr>
            </c:trendlineLbl>
            <c:name>Linear(Series1)</c:name>
            <c:spPr/>
          </c:trendline>
          <c:xVal>
            <c:strRef>
              <c:f>'TOC and TN stocks (8)'!$A$3:$A$42</c:f>
            </c:strRef>
          </c:xVal>
          <c:yVal>
            <c:numRef>
              <c:f>'TC,TOC,TIC AVG,STDEV'!#REF!</c:f>
              <c:numCache>
                <c:formatCode>General</c:formatCode>
              </c:numCache>
            </c:numRef>
          </c:yVal>
          <c:smooth val="0"/>
          <c:extLst/>
          <c:marker>
            <c:symbol val="diamond"/>
            <c:size val="5"/>
            <c:spPr/>
          </c:marker>
        </c:ser>
        <c:axId val="59788667"/>
        <c:axId val="10292726"/>
        <c:scatterStyle val="lineMarker"/>
        <c:varyColors val="0"/>
      </c:scatterChart>
      <c:valAx axisType="3">
        <c:axId val="59788667"/>
        <c:scaling>
          <c:orientation val="minMax"/>
          <c:max val="4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/>
                  <a:t>Samples</a:t>
                </a:r>
                <a:r>
                  <a:rPr/>
                  <a:t> (North to South)</a:t>
                </a:r>
                <a:endParaRPr lang="en-US"/>
              </a:p>
            </c:rich>
          </c:tx>
          <c:overlay val="0"/>
          <c:spPr>
            <a:noFill/>
          </c:spPr>
        </c:title>
        <c:numFmt formatCode="General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strike="noStrike" u="none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292726"/>
        <c:crosses val="autoZero"/>
        <c:crossBetween val="midCat"/>
        <c:majorUnit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</c:valAx>
      <c:valAx axisType="3">
        <c:axId val="10292726"/>
        <c:delete val="0"/>
        <c:majorTickMark val="none"/>
        <c:minorTickMark val="none"/>
        <c:tickLblPos val="nextTo"/>
        <c:title>
          <c:tx>
            <c:rich>
              <a:bodyPr/>
              <a:lstStyle/>
              <a:p>
                <a:pPr>
                  <a:defRPr/>
                </a:pPr>
                <a:r>
                  <a:rPr/>
                  <a:t>TC(MAY):TC(SEP)</a:t>
                </a:r>
                <a:r>
                  <a:rPr/>
                  <a:t> ratio</a:t>
                </a:r>
                <a:endParaRPr lang="en-US"/>
              </a:p>
            </c:rich>
          </c:tx>
          <c:overlay val="0"/>
          <c:spPr>
            <a:noFill/>
          </c:spPr>
        </c:title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General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midCat"/>
        <c:crossAx val="59788667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ln>
      <a:solidFill>
        <a:schemeClr val="tx1">
          <a:lumMod val="15000"/>
          <a:lumOff val="8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en-GB"/>
  <c:roundedCorners val="0"/>
  <c:chart>
    <c:title>
      <c:tx>
        <c:rich>
          <a:bodyPr/>
          <a:lstStyle/>
          <a:p>
            <a:pPr>
              <a:defRPr/>
            </a:pPr>
            <a:r>
              <a:rPr/>
              <a:t>Soil Total Organic Carbon Ratios May</a:t>
            </a:r>
            <a:r>
              <a:rPr/>
              <a:t>:September</a:t>
            </a:r>
            <a:endParaRPr lang="en-US"/>
          </a:p>
        </c:rich>
      </c:tx>
      <c:layout>
        <c:manualLayout>
          <c:xMode val="edge"/>
          <c:yMode val="edge"/>
          <c:x val="0.22886354973263198"/>
          <c:y val="1.4554420366875629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layoutTarget val="inner"/>
          <c:x val="0.08259461343265705"/>
          <c:y val="0.2504001809539063"/>
          <c:w val="0.9020976682893892"/>
          <c:h val="0.6750924536023237"/>
        </c:manualLayout>
      </c:layout>
      <c:scatterChart chartType="1">
        <c:ser seriesType="5">
          <c:idx val="0"/>
          <c:order val="0"/>
          <c:tx>
            <c:strRef>
              <c:f>'TC,TOC,TIC AVG,STDEV'!#REF!</c:f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0"/>
            <c:name>Linear(Series1)</c:name>
            <c:spPr/>
            <c:trendlineLbl>
              <c:txPr>
                <a:bodyPr/>
                <a:p>
                  <a:pPr>
                    <a:defRPr/>
                  </a:pPr>
                  <a:r>
                    <a:rPr/>
                    <a:t/>
                  </a:r>
                  <a:endParaRPr/>
                </a:p>
              </c:txPr>
            </c:trendlineLbl>
          </c:trendline>
          <c:trendline>
            <c:trendlineType val="linear"/>
            <c:dispRSqr val="1"/>
            <c:dispEq val="0"/>
            <c:trendlineLbl>
              <c:txPr>
                <a:bodyPr/>
                <a:p>
                  <a:pPr>
                    <a:defRPr/>
                  </a:pPr>
                  <a:r>
                    <a:rPr/>
                    <a:t/>
                  </a:r>
                  <a:endParaRPr/>
                </a:p>
              </c:txPr>
            </c:trendlineLbl>
            <c:name>Linear(Series1)</c:name>
            <c:spPr/>
          </c:trendline>
          <c:xVal>
            <c:strRef>
              <c:f>'TOC and TN stocks (8)'!$A$3:$A$42</c:f>
            </c:strRef>
          </c:xVal>
          <c:yVal>
            <c:numRef>
              <c:f>'TC,TOC,TIC AVG,STDEV'!#REF!</c:f>
              <c:numCache>
                <c:formatCode>General</c:formatCode>
              </c:numCache>
            </c:numRef>
          </c:yVal>
          <c:smooth val="0"/>
          <c:extLst/>
          <c:marker>
            <c:symbol val="diamond"/>
            <c:size val="5"/>
            <c:spPr/>
          </c:marker>
        </c:ser>
        <c:axId val="24220306"/>
        <c:axId val="54715989"/>
        <c:scatterStyle val="lineMarker"/>
        <c:varyColors val="0"/>
      </c:scatterChart>
      <c:valAx axisType="3">
        <c:axId val="24220306"/>
        <c:scaling>
          <c:orientation val="minMax"/>
          <c:max val="4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/>
                  <a:t>Samples</a:t>
                </a:r>
                <a:r>
                  <a:rPr/>
                  <a:t> (North to South)</a:t>
                </a:r>
                <a:endParaRPr lang="en-US"/>
              </a:p>
            </c:rich>
          </c:tx>
          <c:overlay val="0"/>
          <c:spPr>
            <a:noFill/>
          </c:spPr>
        </c:title>
        <c:numFmt formatCode="General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strike="noStrike" u="none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715989"/>
        <c:crosses val="autoZero"/>
        <c:crossBetween val="midCat"/>
        <c:majorUnit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</c:valAx>
      <c:valAx axisType="3">
        <c:axId val="54715989"/>
        <c:delete val="0"/>
        <c:majorTickMark val="out"/>
        <c:minorTickMark val="none"/>
        <c:tickLblPos val="nextTo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/>
                  <a:t>TOC(MAY:TOC(SEP)</a:t>
                </a:r>
                <a:r>
                  <a:rPr/>
                  <a:t> ratio</a:t>
                </a:r>
                <a:endParaRPr/>
              </a:p>
            </c:rich>
          </c:tx>
          <c:overlay val="0"/>
          <c:spPr>
            <a:noFill/>
          </c:spPr>
        </c:title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General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midCat"/>
        <c:crossAx val="24220306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ln>
      <a:solidFill>
        <a:schemeClr val="tx1">
          <a:lumMod val="15000"/>
          <a:lumOff val="8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en-GB"/>
  <c:roundedCorners val="0"/>
  <c:chart>
    <c:title>
      <c:tx>
        <c:rich>
          <a:bodyPr/>
          <a:lstStyle/>
          <a:p>
            <a:pPr>
              <a:defRPr/>
            </a:pPr>
            <a:r>
              <a:rPr/>
              <a:t>Soil</a:t>
            </a:r>
            <a:r>
              <a:rPr/>
              <a:t> Total Inorganic Carbon Ratios May:September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scatterChart chartType="1">
        <c:ser seriesType="5">
          <c:idx val="0"/>
          <c:order val="0"/>
          <c:tx>
            <c:strRef>
              <c:f>'TC,TOC,TIC AVG,STDEV'!#REF!</c:f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0"/>
            <c:name>Linear(Series1)</c:name>
            <c:spPr/>
            <c:trendlineLbl>
              <c:txPr>
                <a:bodyPr/>
                <a:p>
                  <a:pPr>
                    <a:defRPr/>
                  </a:pPr>
                  <a:r>
                    <a:rPr/>
                    <a:t/>
                  </a:r>
                  <a:endParaRPr/>
                </a:p>
              </c:txPr>
            </c:trendlineLbl>
          </c:trendline>
          <c:trendline>
            <c:trendlineType val="linear"/>
            <c:dispRSqr val="1"/>
            <c:dispEq val="0"/>
            <c:trendlineLbl>
              <c:txPr>
                <a:bodyPr/>
                <a:p>
                  <a:pPr>
                    <a:defRPr/>
                  </a:pPr>
                  <a:r>
                    <a:rPr/>
                    <a:t/>
                  </a:r>
                  <a:endParaRPr/>
                </a:p>
              </c:txPr>
            </c:trendlineLbl>
            <c:name>Linear(Series1)</c:name>
            <c:spPr/>
          </c:trendline>
          <c:xVal>
            <c:strRef>
              <c:f>'TOC and TN stocks (8)'!$A$3:$A$42</c:f>
            </c:strRef>
          </c:xVal>
          <c:yVal>
            <c:numRef>
              <c:f>'TC,TOC,TIC AVG,STDEV'!#REF!</c:f>
              <c:numCache>
                <c:formatCode>General</c:formatCode>
              </c:numCache>
            </c:numRef>
          </c:yVal>
          <c:smooth val="0"/>
          <c:extLst/>
          <c:marker>
            <c:symbol val="diamond"/>
            <c:size val="5"/>
            <c:spPr/>
          </c:marker>
        </c:ser>
        <c:axId val="18177092"/>
        <c:axId val="75098605"/>
        <c:scatterStyle val="lineMarker"/>
        <c:varyColors val="0"/>
      </c:scatterChart>
      <c:valAx axisType="3">
        <c:axId val="18177092"/>
        <c:scaling>
          <c:orientation val="minMax"/>
          <c:max val="4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/>
                  <a:t>Samples</a:t>
                </a:r>
                <a:r>
                  <a:rPr/>
                  <a:t> (North to South)</a:t>
                </a:r>
                <a:endParaRPr lang="en-US"/>
              </a:p>
            </c:rich>
          </c:tx>
          <c:overlay val="0"/>
          <c:spPr>
            <a:noFill/>
          </c:spPr>
        </c:title>
        <c:numFmt formatCode="General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strike="noStrike" u="none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098605"/>
        <c:crosses val="autoZero"/>
        <c:crossBetween val="midCat"/>
        <c:majorUnit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</c:valAx>
      <c:valAx axisType="3">
        <c:axId val="75098605"/>
        <c:delete val="0"/>
        <c:majorTickMark val="out"/>
        <c:minorTickMark val="none"/>
        <c:tickLblPos val="nextTo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/>
                  <a:t>TIC(MAY):TIC(SEP)</a:t>
                </a:r>
                <a:endParaRPr/>
              </a:p>
            </c:rich>
          </c:tx>
          <c:overlay val="0"/>
          <c:spPr>
            <a:noFill/>
          </c:spPr>
        </c:title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General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majorUnit val="1"/>
        <c:crosses val="autoZero"/>
        <c:crossBetween val="midCat"/>
        <c:crossAx val="18177092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ln>
      <a:solidFill>
        <a:schemeClr val="tx1">
          <a:lumMod val="15000"/>
          <a:lumOff val="8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4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5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115</xdr:row>
      <xdr:rowOff>115989</xdr:rowOff>
    </xdr:from>
    <xdr:to>
      <xdr:col>3</xdr:col>
      <xdr:colOff>0</xdr:colOff>
      <xdr:row>140</xdr:row>
      <xdr:rowOff>163613</xdr:rowOff>
    </xdr:to>
    <xdr:graphicFrame>
      <xdr:nvGraphicFramePr>
        <xdr:cNvPr id="2" name="Chart 6"/>
        <xdr:cNvGraphicFramePr>
          <a:graphicFrameLocks noChangeAspect="0"/>
        </xdr:cNvGraphicFramePr>
      </xdr:nvGraphicFramePr>
      <xdr:xfrm>
        <a:off x="4168588" y="22023489"/>
        <a:ext cx="1243853" cy="48101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115</xdr:row>
      <xdr:rowOff>164462</xdr:rowOff>
    </xdr:from>
    <xdr:to>
      <xdr:col>2</xdr:col>
      <xdr:colOff>0</xdr:colOff>
      <xdr:row>143</xdr:row>
      <xdr:rowOff>70594</xdr:rowOff>
    </xdr:to>
    <xdr:graphicFrame>
      <xdr:nvGraphicFramePr>
        <xdr:cNvPr id="3" name="Chart 31"/>
        <xdr:cNvGraphicFramePr>
          <a:graphicFrameLocks noChangeAspect="0"/>
        </xdr:cNvGraphicFramePr>
      </xdr:nvGraphicFramePr>
      <xdr:xfrm>
        <a:off x="0" y="22071962"/>
        <a:ext cx="4168588" cy="5240132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183</xdr:row>
      <xdr:rowOff>116143</xdr:rowOff>
    </xdr:from>
    <xdr:to>
      <xdr:col>2</xdr:col>
      <xdr:colOff>0</xdr:colOff>
      <xdr:row>201</xdr:row>
      <xdr:rowOff>130430</xdr:rowOff>
    </xdr:to>
    <xdr:graphicFrame>
      <xdr:nvGraphicFramePr>
        <xdr:cNvPr id="4" name="Chart 34"/>
        <xdr:cNvGraphicFramePr>
          <a:graphicFrameLocks noChangeAspect="0"/>
        </xdr:cNvGraphicFramePr>
      </xdr:nvGraphicFramePr>
      <xdr:xfrm>
        <a:off x="1" y="34977643"/>
        <a:ext cx="4168587" cy="344328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164</xdr:row>
      <xdr:rowOff>21972</xdr:rowOff>
    </xdr:from>
    <xdr:to>
      <xdr:col>2</xdr:col>
      <xdr:colOff>0</xdr:colOff>
      <xdr:row>183</xdr:row>
      <xdr:rowOff>36256</xdr:rowOff>
    </xdr:to>
    <xdr:graphicFrame>
      <xdr:nvGraphicFramePr>
        <xdr:cNvPr id="5" name="Chart 37"/>
        <xdr:cNvGraphicFramePr>
          <a:graphicFrameLocks noChangeAspect="0"/>
        </xdr:cNvGraphicFramePr>
      </xdr:nvGraphicFramePr>
      <xdr:xfrm>
        <a:off x="0" y="31263972"/>
        <a:ext cx="4168588" cy="363378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19591</xdr:colOff>
      <xdr:row>144</xdr:row>
      <xdr:rowOff>19050</xdr:rowOff>
    </xdr:from>
    <xdr:to>
      <xdr:col>2</xdr:col>
      <xdr:colOff>0</xdr:colOff>
      <xdr:row>163</xdr:row>
      <xdr:rowOff>23814</xdr:rowOff>
    </xdr:to>
    <xdr:graphicFrame>
      <xdr:nvGraphicFramePr>
        <xdr:cNvPr id="6" name="Chart 39"/>
        <xdr:cNvGraphicFramePr>
          <a:graphicFrameLocks noChangeAspect="0"/>
        </xdr:cNvGraphicFramePr>
      </xdr:nvGraphicFramePr>
      <xdr:xfrm>
        <a:off x="19591" y="27451050"/>
        <a:ext cx="4148997" cy="362426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AD2FA5F-2172-4182-B75F-6E9669A8A523}" mc:Ignorable="x14ac xr xr2 xr3">
  <dimension ref="A1:S43"/>
  <sheetViews>
    <sheetView topLeftCell="A1" zoomScale="70" workbookViewId="0">
      <selection activeCell="N16" sqref="N16"/>
    </sheetView>
  </sheetViews>
  <sheetFormatPr defaultRowHeight="15" defaultColWidth="9.140625" customHeight="1"/>
  <cols>
    <col min="1" max="1" style="12" width="24.140625" customWidth="1"/>
    <col min="2" max="2" style="12" width="15.28125" customWidth="1"/>
    <col min="3" max="3" style="12" width="12.8515625" customWidth="1"/>
    <col min="4" max="4" style="12" width="17.28125" customWidth="1"/>
    <col min="5" max="5" style="12" width="18.421875" customWidth="1"/>
    <col min="6" max="6" style="12" width="14.421875" customWidth="1"/>
    <col min="7" max="7" style="12" width="10.140625" customWidth="1"/>
    <col min="8" max="8" style="12" width="13.57421875" customWidth="1"/>
    <col min="9" max="9" style="12" width="13.8515625" customWidth="1"/>
    <col min="10" max="10" style="12" width="18.140625" customWidth="1"/>
    <col min="11" max="11" style="12" width="14.8515625" customWidth="1"/>
    <col min="12" max="12" style="12" width="10.140625" customWidth="1"/>
    <col min="13" max="13" style="12" width="9.7109375" customWidth="1"/>
    <col min="14" max="14" style="12" width="11.28125" customWidth="1"/>
    <col min="15" max="15" style="12" width="8.140625" customWidth="1"/>
    <col min="16" max="16" style="12" width="7.140625" customWidth="1"/>
    <col min="17" max="17" style="12" width="7.421875" customWidth="1"/>
    <col min="18" max="18" style="12" width="8.8515625" customWidth="1"/>
    <col min="19" max="19" style="12" width="7.00390625" customWidth="1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 t="s">
        <v>1</v>
      </c>
      <c r="L1" s="5"/>
      <c r="M1" s="5"/>
      <c r="N1" s="5"/>
      <c r="O1" s="5"/>
      <c r="P1" s="5"/>
      <c r="Q1" s="5"/>
      <c r="R1" s="5"/>
      <c r="S1" s="5"/>
    </row>
    <row r="2" ht="15" customHeight="1">
      <c r="A2" s="6"/>
      <c r="B2" s="7" t="s">
        <v>2</v>
      </c>
      <c r="C2" s="7"/>
      <c r="D2" s="7"/>
      <c r="E2" s="7" t="s">
        <v>3</v>
      </c>
      <c r="F2" s="7"/>
      <c r="G2" s="7"/>
      <c r="H2" s="7" t="s">
        <v>4</v>
      </c>
      <c r="I2" s="7"/>
      <c r="J2" s="7"/>
      <c r="K2" s="7" t="s">
        <v>2</v>
      </c>
      <c r="L2" s="7"/>
      <c r="M2" s="7"/>
      <c r="N2" s="7" t="s">
        <v>3</v>
      </c>
      <c r="O2" s="7"/>
      <c r="P2" s="7"/>
      <c r="Q2" s="7" t="s">
        <v>4</v>
      </c>
      <c r="R2" s="7"/>
      <c r="S2" s="7"/>
    </row>
    <row r="3" ht="15.75" customHeight="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7</v>
      </c>
      <c r="G3" s="8" t="s">
        <v>8</v>
      </c>
      <c r="H3" s="8" t="s">
        <v>10</v>
      </c>
      <c r="I3" s="8" t="s">
        <v>7</v>
      </c>
      <c r="J3" s="8" t="s">
        <v>8</v>
      </c>
      <c r="K3" s="8" t="s">
        <v>11</v>
      </c>
      <c r="L3" s="8" t="s">
        <v>7</v>
      </c>
      <c r="M3" s="8" t="s">
        <v>8</v>
      </c>
      <c r="N3" s="8" t="s">
        <v>12</v>
      </c>
      <c r="O3" s="8" t="s">
        <v>7</v>
      </c>
      <c r="P3" s="8" t="s">
        <v>8</v>
      </c>
      <c r="Q3" s="8" t="s">
        <v>10</v>
      </c>
      <c r="R3" s="8" t="s">
        <v>7</v>
      </c>
      <c r="S3" s="8" t="s">
        <v>8</v>
      </c>
    </row>
    <row r="4" ht="15.75" customHeight="1">
      <c r="A4" s="9">
        <v>1</v>
      </c>
      <c r="B4" s="10">
        <v>11.225</v>
      </c>
      <c r="C4" s="10">
        <v>0.43133513652382055</v>
      </c>
      <c r="D4" s="10">
        <v>0.30500000000001876</v>
      </c>
      <c r="E4" s="10">
        <v>10.775</v>
      </c>
      <c r="F4" s="10">
        <v>0.9828784258492989</v>
      </c>
      <c r="G4" s="10">
        <v>0.6949999999999984</v>
      </c>
      <c r="H4" s="10">
        <v>0.4499999999999993</v>
      </c>
      <c r="I4" s="10">
        <v>1.073359212938529</v>
      </c>
      <c r="J4" s="10">
        <v>0.7589795781178893</v>
      </c>
      <c r="K4" s="10">
        <v>9.413333333333334</v>
      </c>
      <c r="L4" s="10">
        <v>1.1221556635927687</v>
      </c>
      <c r="M4" s="10">
        <v>0.6478768744479482</v>
      </c>
      <c r="N4" s="10">
        <v>9.013333333333334</v>
      </c>
      <c r="O4" s="10">
        <v>0.8945576187889398</v>
      </c>
      <c r="P4" s="10">
        <v>0.516473082013425</v>
      </c>
      <c r="Q4" s="10">
        <v>0.40000000000000036</v>
      </c>
      <c r="R4" s="10">
        <v>1.4350842019431005</v>
      </c>
      <c r="S4" s="10">
        <v>0.8285462503016283</v>
      </c>
    </row>
    <row r="5" ht="15.75" customHeight="1">
      <c r="A5" s="9">
        <v>2</v>
      </c>
      <c r="B5" s="10">
        <v>27.240000000000002</v>
      </c>
      <c r="C5" s="10">
        <v>0.042426406871191945</v>
      </c>
      <c r="D5" s="10">
        <v>0.012792042981336352</v>
      </c>
      <c r="E5" s="10">
        <v>23.846666666666668</v>
      </c>
      <c r="F5" s="10">
        <v>3.49766112328414</v>
      </c>
      <c r="G5" s="10">
        <v>2.0193755910621873</v>
      </c>
      <c r="H5" s="10">
        <v>3.3933333333333344</v>
      </c>
      <c r="I5" s="10">
        <v>3.4979184286276994</v>
      </c>
      <c r="J5" s="10">
        <v>2.0194161072303536</v>
      </c>
      <c r="K5" s="10">
        <v>19.365000000000002</v>
      </c>
      <c r="L5" s="10">
        <v>0.7848885271169056</v>
      </c>
      <c r="M5" s="10">
        <v>0.5549999999998853</v>
      </c>
      <c r="N5" s="10">
        <v>18.659999999999997</v>
      </c>
      <c r="O5" s="10">
        <v>0.46669047558325505</v>
      </c>
      <c r="P5" s="10">
        <v>0.3300000000000945</v>
      </c>
      <c r="Q5" s="10">
        <v>0.7050000000000054</v>
      </c>
      <c r="R5" s="10">
        <v>0.9131538753133944</v>
      </c>
      <c r="S5" s="10">
        <v>0.6456972975008762</v>
      </c>
    </row>
    <row r="6" ht="15.75" customHeight="1">
      <c r="A6" s="9">
        <v>3</v>
      </c>
      <c r="B6" s="10">
        <v>48.39666666666667</v>
      </c>
      <c r="C6" s="10">
        <v>3.2912054529204235</v>
      </c>
      <c r="D6" s="10">
        <v>1.0407705478794607</v>
      </c>
      <c r="E6" s="10">
        <v>47.765</v>
      </c>
      <c r="F6" s="10">
        <v>1.6051323932933284</v>
      </c>
      <c r="G6" s="10">
        <v>1.1349999999999048</v>
      </c>
      <c r="H6" s="10">
        <v>0.6316666666666677</v>
      </c>
      <c r="I6" s="10">
        <v>3.661759595240067</v>
      </c>
      <c r="J6" s="10">
        <v>1.5399442630605487</v>
      </c>
      <c r="K6" s="10">
        <v>51.510000000000005</v>
      </c>
      <c r="L6" s="10">
        <v>1.3010764773831731</v>
      </c>
      <c r="M6" s="10">
        <v>0.9199999999999474</v>
      </c>
      <c r="N6" s="10">
        <v>40.915000000000006</v>
      </c>
      <c r="O6" s="10">
        <v>0.8555992052354988</v>
      </c>
      <c r="P6" s="10">
        <v>0.6049999999998418</v>
      </c>
      <c r="Q6" s="10">
        <v>10.594999999999999</v>
      </c>
      <c r="R6" s="10">
        <v>1.557192987397331</v>
      </c>
      <c r="S6" s="10">
        <v>1.1011017210047906</v>
      </c>
    </row>
    <row r="7" ht="15.75" customHeight="1">
      <c r="A7" s="9">
        <v>4</v>
      </c>
      <c r="B7" s="10">
        <v>36.599999999999994</v>
      </c>
      <c r="C7" s="10">
        <v>0.5374011537024457</v>
      </c>
      <c r="D7" s="10">
        <v>0.3800000000004734</v>
      </c>
      <c r="E7" s="10">
        <v>32.47666666666667</v>
      </c>
      <c r="F7" s="10">
        <v>0.6789943544191178</v>
      </c>
      <c r="G7" s="10">
        <v>0.39201757330211384</v>
      </c>
      <c r="H7" s="10">
        <v>4.123333333333328</v>
      </c>
      <c r="I7" s="10">
        <v>0.8659291733933868</v>
      </c>
      <c r="J7" s="10">
        <v>0.5459649968432391</v>
      </c>
      <c r="K7" s="10">
        <v>27.105</v>
      </c>
      <c r="L7" s="10">
        <v>0.37476659402900464</v>
      </c>
      <c r="M7" s="10">
        <v>0.26500000000009505</v>
      </c>
      <c r="N7" s="10">
        <v>18.16</v>
      </c>
      <c r="O7" s="10">
        <v>1.4990663761154877</v>
      </c>
      <c r="P7" s="10">
        <v>1.0600000000000047</v>
      </c>
      <c r="Q7" s="10">
        <v>8.945</v>
      </c>
      <c r="R7" s="10">
        <v>1.545202252134044</v>
      </c>
      <c r="S7" s="10">
        <v>1.0926229907887077</v>
      </c>
    </row>
    <row r="8" ht="15.75" customHeight="1">
      <c r="A8" s="9">
        <v>5</v>
      </c>
      <c r="B8" s="10">
        <v>34.269999999999996</v>
      </c>
      <c r="C8" s="10">
        <v>1.046518036156188</v>
      </c>
      <c r="D8" s="10">
        <v>0.740000000000069</v>
      </c>
      <c r="E8" s="10">
        <v>31.08666666666667</v>
      </c>
      <c r="F8" s="10">
        <v>1.6685722439658792</v>
      </c>
      <c r="G8" s="10">
        <v>0.9633506342160384</v>
      </c>
      <c r="H8" s="10">
        <v>3.1833333333333265</v>
      </c>
      <c r="I8" s="10">
        <v>1.969602328728704</v>
      </c>
      <c r="J8" s="10">
        <v>1.2147610647549358</v>
      </c>
      <c r="K8" s="10">
        <v>33.379999999999995</v>
      </c>
      <c r="L8" s="10">
        <v>0.8909545442952598</v>
      </c>
      <c r="M8" s="10">
        <v>0.6300000000001483</v>
      </c>
      <c r="N8" s="10">
        <v>30.634999999999998</v>
      </c>
      <c r="O8" s="10">
        <v>0.6858935777511372</v>
      </c>
      <c r="P8" s="10">
        <v>0.4850000000001316</v>
      </c>
      <c r="Q8" s="10">
        <v>2.7449999999999974</v>
      </c>
      <c r="R8" s="10">
        <v>1.1243887228181495</v>
      </c>
      <c r="S8" s="10">
        <v>0.7950628905943948</v>
      </c>
    </row>
    <row r="9" ht="15.75" customHeight="1">
      <c r="A9" s="9">
        <v>6</v>
      </c>
      <c r="B9" s="10">
        <v>44.115</v>
      </c>
      <c r="C9" s="10">
        <v>0.6293250352558938</v>
      </c>
      <c r="D9" s="10">
        <v>0.4449999999999056</v>
      </c>
      <c r="E9" s="10">
        <v>41.61333333333334</v>
      </c>
      <c r="F9" s="10">
        <v>2.0179775353885536</v>
      </c>
      <c r="G9" s="10">
        <v>1.165079873275199</v>
      </c>
      <c r="H9" s="10">
        <v>2.501666666666665</v>
      </c>
      <c r="I9" s="10">
        <v>2.113831434465079</v>
      </c>
      <c r="J9" s="10">
        <v>1.2471712436994646</v>
      </c>
      <c r="K9" s="10">
        <v>35.495000000000005</v>
      </c>
      <c r="L9" s="10">
        <v>0.0070710678118640685</v>
      </c>
      <c r="M9" s="10">
        <v>0.004999999999999005</v>
      </c>
      <c r="N9" s="10">
        <v>28.145</v>
      </c>
      <c r="O9" s="10">
        <v>0.12020815280171429</v>
      </c>
      <c r="P9" s="10">
        <v>0.08500000000000085</v>
      </c>
      <c r="Q9" s="10">
        <v>7.350000000000005</v>
      </c>
      <c r="R9" s="10">
        <v>0.12041594578792408</v>
      </c>
      <c r="S9" s="10">
        <v>0.0851469318296328</v>
      </c>
    </row>
    <row r="10" ht="15.75" customHeight="1">
      <c r="A10" s="9">
        <v>7</v>
      </c>
      <c r="B10" s="10">
        <v>27.729999999999997</v>
      </c>
      <c r="C10" s="10">
        <v>1.9798989873224089</v>
      </c>
      <c r="D10" s="10">
        <v>1.4000000000000534</v>
      </c>
      <c r="E10" s="10">
        <v>25.073333333333334</v>
      </c>
      <c r="F10" s="10">
        <v>0.7310494739300262</v>
      </c>
      <c r="G10" s="10">
        <v>0.42207161056443493</v>
      </c>
      <c r="H10" s="10">
        <v>2.6566666666666627</v>
      </c>
      <c r="I10" s="10">
        <v>2.1105528501635935</v>
      </c>
      <c r="J10" s="10">
        <v>1.4622395304616154</v>
      </c>
      <c r="K10" s="10">
        <v>22.826666666666664</v>
      </c>
      <c r="L10" s="10">
        <v>1.0931758016593336</v>
      </c>
      <c r="M10" s="10">
        <v>0.6311453433596013</v>
      </c>
      <c r="N10" s="10">
        <v>21.576666666666668</v>
      </c>
      <c r="O10" s="10">
        <v>1.46172272792527</v>
      </c>
      <c r="P10" s="10">
        <v>0.8439260104482488</v>
      </c>
      <c r="Q10" s="10">
        <v>1.2499999999999964</v>
      </c>
      <c r="R10" s="10">
        <v>1.825285365817307</v>
      </c>
      <c r="S10" s="10">
        <v>1.0538289973025066</v>
      </c>
    </row>
    <row r="11" ht="15.75" customHeight="1">
      <c r="A11" s="9">
        <v>8</v>
      </c>
      <c r="B11" s="10">
        <v>31.090000000000003</v>
      </c>
      <c r="C11" s="10">
        <v>1.7861410918512994</v>
      </c>
      <c r="D11" s="10">
        <v>0.5648274072670121</v>
      </c>
      <c r="E11" s="10">
        <v>28.155</v>
      </c>
      <c r="F11" s="10">
        <v>2.1001071401240656</v>
      </c>
      <c r="G11" s="10">
        <v>1.4850000000000136</v>
      </c>
      <c r="H11" s="10">
        <v>2.9350000000000023</v>
      </c>
      <c r="I11" s="10">
        <v>2.756945773859151</v>
      </c>
      <c r="J11" s="10">
        <v>1.588790420414227</v>
      </c>
      <c r="K11" s="10">
        <v>27.935000000000002</v>
      </c>
      <c r="L11" s="10">
        <v>0.5727564927609711</v>
      </c>
      <c r="M11" s="10">
        <v>0.4049999999999063</v>
      </c>
      <c r="N11" s="10">
        <v>24.134999999999998</v>
      </c>
      <c r="O11" s="10">
        <v>0.31819805153384634</v>
      </c>
      <c r="P11" s="10">
        <v>0.22499999999992923</v>
      </c>
      <c r="Q11" s="10">
        <v>3.8000000000000043</v>
      </c>
      <c r="R11" s="10">
        <v>0.6552098900350823</v>
      </c>
      <c r="S11" s="10">
        <v>0.46330335634429876</v>
      </c>
    </row>
    <row r="12" ht="15.75" customHeight="1">
      <c r="A12" s="9">
        <v>9</v>
      </c>
      <c r="B12" s="10">
        <v>39.095</v>
      </c>
      <c r="C12" s="10">
        <v>1.0960155108389744</v>
      </c>
      <c r="D12" s="10">
        <v>0.7749999999998768</v>
      </c>
      <c r="E12" s="10">
        <v>37.67000000000001</v>
      </c>
      <c r="F12" s="10">
        <v>0.5232590180775508</v>
      </c>
      <c r="G12" s="10">
        <v>0.3021037349429732</v>
      </c>
      <c r="H12" s="10">
        <v>1.42499999999999</v>
      </c>
      <c r="I12" s="10">
        <v>1.214516364648538</v>
      </c>
      <c r="J12" s="10">
        <v>0.8318002564716502</v>
      </c>
      <c r="K12" s="10">
        <v>33.425</v>
      </c>
      <c r="L12" s="10">
        <v>0.9404520189781164</v>
      </c>
      <c r="M12" s="10">
        <v>0.6650000000000057</v>
      </c>
      <c r="N12" s="10">
        <v>30.715</v>
      </c>
      <c r="O12" s="10">
        <v>0.20506096654469577</v>
      </c>
      <c r="P12" s="10">
        <v>0.14500000000042212</v>
      </c>
      <c r="Q12" s="10">
        <v>2.7099999999999973</v>
      </c>
      <c r="R12" s="10">
        <v>0.9625487000667864</v>
      </c>
      <c r="S12" s="10">
        <v>0.6806247130395208</v>
      </c>
    </row>
    <row r="13" ht="15.75" customHeight="1">
      <c r="A13" s="9">
        <v>10</v>
      </c>
      <c r="B13" s="10">
        <v>9.316666666666666</v>
      </c>
      <c r="C13" s="10">
        <v>0.6967304595992146</v>
      </c>
      <c r="D13" s="10">
        <v>0.4022575184022183</v>
      </c>
      <c r="E13" s="10">
        <v>9.283333333333333</v>
      </c>
      <c r="F13" s="10">
        <v>1.0874434851215535</v>
      </c>
      <c r="G13" s="10">
        <v>0.6278357888634337</v>
      </c>
      <c r="H13" s="10">
        <v>0.033333333333333215</v>
      </c>
      <c r="I13" s="10">
        <v>1.2914978384289473</v>
      </c>
      <c r="J13" s="10">
        <v>0.7456466246747725</v>
      </c>
      <c r="K13" s="10">
        <v>19</v>
      </c>
      <c r="L13" s="10">
        <v>1.0040916292848916</v>
      </c>
      <c r="M13" s="10">
        <v>0.7099999999999957</v>
      </c>
      <c r="N13" s="10">
        <v>16.325</v>
      </c>
      <c r="O13" s="10">
        <v>0.20506096654414135</v>
      </c>
      <c r="P13" s="10">
        <v>0.1450000000000301</v>
      </c>
      <c r="Q13" s="10">
        <v>2.6750000000000007</v>
      </c>
      <c r="R13" s="10">
        <v>1.0248170568447843</v>
      </c>
      <c r="S13" s="10">
        <v>0.7246550903705864</v>
      </c>
    </row>
    <row r="14" ht="15.75" customHeight="1">
      <c r="A14" s="9">
        <v>11</v>
      </c>
      <c r="B14" s="10">
        <v>28.65</v>
      </c>
      <c r="C14" s="10">
        <v>1.357645019878264</v>
      </c>
      <c r="D14" s="10">
        <v>0.9600000000000655</v>
      </c>
      <c r="E14" s="10">
        <v>25.813333333333333</v>
      </c>
      <c r="F14" s="10">
        <v>1.1278445519367513</v>
      </c>
      <c r="G14" s="10">
        <v>0.6511613556647362</v>
      </c>
      <c r="H14" s="10">
        <v>2.836666666666666</v>
      </c>
      <c r="I14" s="10">
        <v>1.7650023607161727</v>
      </c>
      <c r="J14" s="10">
        <v>1.1600047892622094</v>
      </c>
      <c r="K14" s="10">
        <v>18.925</v>
      </c>
      <c r="L14" s="10">
        <v>0.5020458146423892</v>
      </c>
      <c r="M14" s="10">
        <v>0.35499999999995785</v>
      </c>
      <c r="N14" s="10">
        <v>13.95</v>
      </c>
      <c r="O14" s="10">
        <v>0.5515432893254891</v>
      </c>
      <c r="P14" s="10">
        <v>0.3899999999999873</v>
      </c>
      <c r="Q14" s="10">
        <v>4.975000000000001</v>
      </c>
      <c r="R14" s="10">
        <v>0.7458216945087616</v>
      </c>
      <c r="S14" s="10">
        <v>0.5273755777431869</v>
      </c>
    </row>
    <row r="15" ht="15.75" customHeight="1">
      <c r="A15" s="9">
        <v>12</v>
      </c>
      <c r="B15" s="10">
        <v>33.406666666666666</v>
      </c>
      <c r="C15" s="10">
        <v>2.5822729006310206</v>
      </c>
      <c r="D15" s="10">
        <v>0.8165863906123677</v>
      </c>
      <c r="E15" s="10">
        <v>30.745</v>
      </c>
      <c r="F15" s="10">
        <v>0.7848885271171229</v>
      </c>
      <c r="G15" s="10">
        <v>0.5550000000000389</v>
      </c>
      <c r="H15" s="10">
        <v>2.6616666666666653</v>
      </c>
      <c r="I15" s="10">
        <v>2.6989226245547373</v>
      </c>
      <c r="J15" s="10">
        <v>0.9873390164140063</v>
      </c>
      <c r="K15" s="10">
        <v>29.795</v>
      </c>
      <c r="L15" s="10">
        <v>0.23334523779126212</v>
      </c>
      <c r="M15" s="10">
        <v>0.16499999999978887</v>
      </c>
      <c r="N15" s="10">
        <v>20.97</v>
      </c>
      <c r="O15" s="10">
        <v>0.042426406871191945</v>
      </c>
      <c r="P15" s="10">
        <v>0.029999999999999357</v>
      </c>
      <c r="Q15" s="10">
        <v>8.825000000000003</v>
      </c>
      <c r="R15" s="10">
        <v>0.23717082451233454</v>
      </c>
      <c r="S15" s="10">
        <v>0.16770509831227637</v>
      </c>
    </row>
    <row r="16" ht="15.75" customHeight="1">
      <c r="A16" s="9">
        <v>40</v>
      </c>
      <c r="B16" s="10">
        <v>9.635000000000002</v>
      </c>
      <c r="C16" s="10">
        <v>0.6010407640085521</v>
      </c>
      <c r="D16" s="10">
        <v>0.42499999999999055</v>
      </c>
      <c r="E16" s="10">
        <v>8.025</v>
      </c>
      <c r="F16" s="10">
        <v>1.378858223313759</v>
      </c>
      <c r="G16" s="10">
        <v>0.9749999999999938</v>
      </c>
      <c r="H16" s="10">
        <v>1.6100000000000012</v>
      </c>
      <c r="I16" s="10">
        <v>1.504160895649119</v>
      </c>
      <c r="J16" s="10">
        <v>1.063602369309123</v>
      </c>
      <c r="K16" s="10">
        <v>21.1</v>
      </c>
      <c r="L16" s="10">
        <v>0.3959797974642923</v>
      </c>
      <c r="M16" s="10">
        <v>0.27999999999987674</v>
      </c>
      <c r="N16" s="10">
        <v>19.625</v>
      </c>
      <c r="O16" s="10">
        <v>0.049497474683058526</v>
      </c>
      <c r="P16" s="10">
        <v>0.035000000000000135</v>
      </c>
      <c r="Q16" s="10">
        <v>1.4750000000000014</v>
      </c>
      <c r="R16" s="10">
        <v>0.39906139878452535</v>
      </c>
      <c r="S16" s="10">
        <v>0.28217902119032695</v>
      </c>
    </row>
    <row r="17" ht="15.75" customHeight="1">
      <c r="A17" s="9">
        <v>39</v>
      </c>
      <c r="B17" s="10">
        <v>28.939999999999998</v>
      </c>
      <c r="C17" s="10">
        <v>4.268582903025345</v>
      </c>
      <c r="D17" s="10">
        <v>1.3498444354813735</v>
      </c>
      <c r="E17" s="10">
        <v>18.66</v>
      </c>
      <c r="F17" s="10">
        <v>2.7435743110038033</v>
      </c>
      <c r="G17" s="10">
        <v>1.939999999999999</v>
      </c>
      <c r="H17" s="10">
        <v>10.279999999999998</v>
      </c>
      <c r="I17" s="10">
        <v>5.074248712863834</v>
      </c>
      <c r="J17" s="10">
        <v>2.3634043242746308</v>
      </c>
      <c r="K17" s="10">
        <v>30.535</v>
      </c>
      <c r="L17" s="10">
        <v>1.1384419177104075</v>
      </c>
      <c r="M17" s="10">
        <v>0.8050000000000466</v>
      </c>
      <c r="N17" s="10">
        <v>21.935000000000002</v>
      </c>
      <c r="O17" s="10">
        <v>0.3181980515336677</v>
      </c>
      <c r="P17" s="10">
        <v>0.2249999999998029</v>
      </c>
      <c r="Q17" s="10">
        <v>8.599999999999998</v>
      </c>
      <c r="R17" s="10">
        <v>1.1820744477400622</v>
      </c>
      <c r="S17" s="10">
        <v>0.835852857864341</v>
      </c>
    </row>
    <row r="18" ht="15.75" customHeight="1">
      <c r="A18" s="9">
        <v>38</v>
      </c>
      <c r="B18" s="10">
        <v>20.314999999999998</v>
      </c>
      <c r="C18" s="10">
        <v>0.6151828996324241</v>
      </c>
      <c r="D18" s="10">
        <v>0.1854846232294196</v>
      </c>
      <c r="E18" s="10">
        <v>19.349999999999998</v>
      </c>
      <c r="F18" s="10">
        <v>1.3839075113604642</v>
      </c>
      <c r="G18" s="10">
        <v>0.7989993742175091</v>
      </c>
      <c r="H18" s="10">
        <v>0.9649999999999999</v>
      </c>
      <c r="I18" s="10">
        <v>1.5144801088162467</v>
      </c>
      <c r="J18" s="10">
        <v>0.8202466369663035</v>
      </c>
      <c r="K18" s="10">
        <v>17.775</v>
      </c>
      <c r="L18" s="10">
        <v>0.7141778489984775</v>
      </c>
      <c r="M18" s="10">
        <v>0.5050000000000455</v>
      </c>
      <c r="N18" s="10">
        <v>16.215</v>
      </c>
      <c r="O18" s="10">
        <v>0.13435028842550564</v>
      </c>
      <c r="P18" s="10">
        <v>0.09500000000004356</v>
      </c>
      <c r="Q18" s="10">
        <v>1.5599999999999987</v>
      </c>
      <c r="R18" s="10">
        <v>0.7267048919610413</v>
      </c>
      <c r="S18" s="10">
        <v>0.5138579570270896</v>
      </c>
    </row>
    <row r="19" ht="15.75" customHeight="1">
      <c r="A19" s="9">
        <v>37</v>
      </c>
      <c r="B19" s="10">
        <v>26.725</v>
      </c>
      <c r="C19" s="10">
        <v>4.27799602617861</v>
      </c>
      <c r="D19" s="10">
        <v>1.352821126387372</v>
      </c>
      <c r="E19" s="10">
        <v>25.85</v>
      </c>
      <c r="F19" s="10">
        <v>3.422396820942859</v>
      </c>
      <c r="G19" s="10">
        <v>2.4199999999999777</v>
      </c>
      <c r="H19" s="10">
        <v>0.875</v>
      </c>
      <c r="I19" s="10">
        <v>5.478508008573116</v>
      </c>
      <c r="J19" s="10">
        <v>2.7724582954482635</v>
      </c>
      <c r="K19" s="10">
        <v>26.424999999999997</v>
      </c>
      <c r="L19" s="10">
        <v>0.7990306627408914</v>
      </c>
      <c r="M19" s="10">
        <v>0.5650000000000656</v>
      </c>
      <c r="N19" s="10">
        <v>23.575</v>
      </c>
      <c r="O19" s="10">
        <v>1.887975105768103</v>
      </c>
      <c r="P19" s="10">
        <v>1.3350000000000148</v>
      </c>
      <c r="Q19" s="10">
        <v>2.849999999999998</v>
      </c>
      <c r="R19" s="10">
        <v>2.050097558654277</v>
      </c>
      <c r="S19" s="10">
        <v>1.4496378858184253</v>
      </c>
    </row>
    <row r="20" ht="15.75" customHeight="1">
      <c r="A20" s="9">
        <v>36</v>
      </c>
      <c r="B20" s="10">
        <v>20.815</v>
      </c>
      <c r="C20" s="10">
        <v>0.2757716446627704</v>
      </c>
      <c r="D20" s="10">
        <v>0.08314827937869315</v>
      </c>
      <c r="E20" s="10">
        <v>19.636666666666667</v>
      </c>
      <c r="F20" s="10">
        <v>2.5128536235390513</v>
      </c>
      <c r="G20" s="10">
        <v>1.450796715984398</v>
      </c>
      <c r="H20" s="10">
        <v>1.1783333333333346</v>
      </c>
      <c r="I20" s="10">
        <v>2.5279405320009705</v>
      </c>
      <c r="J20" s="10">
        <v>1.4531774659258763</v>
      </c>
      <c r="K20" s="10">
        <v>21.48</v>
      </c>
      <c r="L20" s="10">
        <v>0.5515432893255408</v>
      </c>
      <c r="M20" s="10">
        <v>0.39000000000002377</v>
      </c>
      <c r="N20" s="10">
        <v>20.03</v>
      </c>
      <c r="O20" s="10">
        <v>1.0323759005323436</v>
      </c>
      <c r="P20" s="10">
        <v>0.7299999999999888</v>
      </c>
      <c r="Q20" s="10">
        <v>1.4499999999999993</v>
      </c>
      <c r="R20" s="10">
        <v>1.1704699910719645</v>
      </c>
      <c r="S20" s="10">
        <v>0.8276472678623438</v>
      </c>
    </row>
    <row r="21" ht="15.75" customHeight="1">
      <c r="A21" s="9">
        <v>35</v>
      </c>
      <c r="B21" s="10">
        <v>12.265</v>
      </c>
      <c r="C21" s="10">
        <v>0.6434671708797386</v>
      </c>
      <c r="D21" s="10">
        <v>0.20348218595247464</v>
      </c>
      <c r="E21" s="10">
        <v>12.085</v>
      </c>
      <c r="F21" s="10">
        <v>1.011162697096731</v>
      </c>
      <c r="G21" s="10">
        <v>0.7149999999999773</v>
      </c>
      <c r="H21" s="10">
        <v>0.17999999999999972</v>
      </c>
      <c r="I21" s="10">
        <v>1.1985407794480378</v>
      </c>
      <c r="J21" s="10">
        <v>0.743390879685758</v>
      </c>
      <c r="K21" s="10">
        <v>14.31</v>
      </c>
      <c r="L21" s="10">
        <v>1.36</v>
      </c>
      <c r="M21" s="10">
        <v>0.79</v>
      </c>
      <c r="N21" s="10">
        <v>13.44</v>
      </c>
      <c r="O21" s="11">
        <v>0.5802585630561179</v>
      </c>
      <c r="P21" s="10">
        <v>0.3350124375800351</v>
      </c>
      <c r="Q21" s="10">
        <v>0.43</v>
      </c>
      <c r="R21" s="10">
        <v>0.48383881613607166</v>
      </c>
      <c r="S21" s="10">
        <v>0.3421257078910874</v>
      </c>
    </row>
    <row r="22" ht="15.75" customHeight="1">
      <c r="A22" s="9">
        <v>34</v>
      </c>
      <c r="B22" s="10">
        <v>13.435</v>
      </c>
      <c r="C22" s="10">
        <v>0.40305086527630535</v>
      </c>
      <c r="D22" s="10">
        <v>0.12745587471747954</v>
      </c>
      <c r="E22" s="10">
        <v>12.59</v>
      </c>
      <c r="F22" s="10">
        <v>0.9899494936611757</v>
      </c>
      <c r="G22" s="10">
        <v>0.7000000000000064</v>
      </c>
      <c r="H22" s="10">
        <v>0.8450000000000006</v>
      </c>
      <c r="I22" s="10">
        <v>1.0688545270522067</v>
      </c>
      <c r="J22" s="10">
        <v>0.7115089598873697</v>
      </c>
      <c r="K22" s="10">
        <v>9.32</v>
      </c>
      <c r="L22" s="10">
        <v>1.18</v>
      </c>
      <c r="M22" s="10">
        <v>0.68</v>
      </c>
      <c r="N22" s="10">
        <v>9.23</v>
      </c>
      <c r="O22" s="10">
        <v>0.34073450074799994</v>
      </c>
      <c r="P22" s="10">
        <v>0.13910427743242884</v>
      </c>
      <c r="Q22" s="10">
        <v>0.06</v>
      </c>
      <c r="R22" s="10">
        <v>0.45700109409063155</v>
      </c>
      <c r="S22" s="10">
        <v>0.323148572641157</v>
      </c>
    </row>
    <row r="23" ht="15.75" customHeight="1">
      <c r="A23" s="9">
        <v>33</v>
      </c>
      <c r="B23" s="10">
        <v>12.75</v>
      </c>
      <c r="C23" s="10">
        <v>0.26870057685079973</v>
      </c>
      <c r="D23" s="10">
        <v>0.08497058314496407</v>
      </c>
      <c r="E23" s="10">
        <v>11.76</v>
      </c>
      <c r="F23" s="10">
        <v>0.8061017305526812</v>
      </c>
      <c r="G23" s="10">
        <v>0.5700000000000119</v>
      </c>
      <c r="H23" s="10">
        <v>0.9900000000000002</v>
      </c>
      <c r="I23" s="10">
        <v>0.8497058314499083</v>
      </c>
      <c r="J23" s="10">
        <v>0.5762985337479255</v>
      </c>
      <c r="K23" s="10">
        <v>13.41</v>
      </c>
      <c r="L23" s="10">
        <v>0.8</v>
      </c>
      <c r="M23" s="10">
        <v>0.46</v>
      </c>
      <c r="N23" s="10">
        <v>12.96</v>
      </c>
      <c r="O23" s="10">
        <v>0.5802585630561179</v>
      </c>
      <c r="P23" s="10">
        <v>0.3350124375800351</v>
      </c>
      <c r="Q23" s="10">
        <v>0.47</v>
      </c>
      <c r="R23" s="10">
        <v>0.5412023651093164</v>
      </c>
      <c r="S23" s="10">
        <v>0.38268786236299535</v>
      </c>
    </row>
    <row r="24" ht="15.75" customHeight="1">
      <c r="A24" s="9">
        <v>32</v>
      </c>
      <c r="B24" s="10">
        <v>8.695</v>
      </c>
      <c r="C24" s="10">
        <v>0.332340187157699</v>
      </c>
      <c r="D24" s="10">
        <v>0.10509519494249696</v>
      </c>
      <c r="E24" s="10">
        <v>8.43</v>
      </c>
      <c r="F24" s="10">
        <v>1.583919189857869</v>
      </c>
      <c r="G24" s="10">
        <v>1.1200000000000017</v>
      </c>
      <c r="H24" s="10">
        <v>0.26500000000000057</v>
      </c>
      <c r="I24" s="10">
        <v>1.6184097132679423</v>
      </c>
      <c r="J24" s="10">
        <v>1.1249199971553556</v>
      </c>
      <c r="K24" s="10">
        <v>9.913333333333332</v>
      </c>
      <c r="L24" s="10">
        <v>0.9154416056381514</v>
      </c>
      <c r="M24" s="10">
        <v>0.52853045744257</v>
      </c>
      <c r="N24" s="10">
        <v>9.843333333333334</v>
      </c>
      <c r="O24" s="10">
        <v>0.5727564927610703</v>
      </c>
      <c r="P24" s="10">
        <v>0.4049999999999765</v>
      </c>
      <c r="Q24" s="10">
        <v>0.06999999999999851</v>
      </c>
      <c r="R24" s="10">
        <v>1.0798533851099041</v>
      </c>
      <c r="S24" s="10">
        <v>0.6658599285468628</v>
      </c>
    </row>
    <row r="25" ht="15.75" customHeight="1">
      <c r="A25" s="9">
        <v>31</v>
      </c>
      <c r="B25" s="10">
        <v>7.095</v>
      </c>
      <c r="C25" s="10">
        <v>2.0011121907579272</v>
      </c>
      <c r="D25" s="10">
        <v>0.6328072376324397</v>
      </c>
      <c r="E25" s="10">
        <v>5.93</v>
      </c>
      <c r="F25" s="10">
        <v>1.0182337649086353</v>
      </c>
      <c r="G25" s="10">
        <v>0.7200000000000047</v>
      </c>
      <c r="H25" s="10">
        <v>1.165</v>
      </c>
      <c r="I25" s="10">
        <v>2.2452728119317715</v>
      </c>
      <c r="J25" s="10">
        <v>0.9585640302035153</v>
      </c>
      <c r="K25" s="10">
        <v>7.31</v>
      </c>
      <c r="L25" s="10">
        <v>0.8774394566008488</v>
      </c>
      <c r="M25" s="10">
        <v>0.506589906466099</v>
      </c>
      <c r="N25" s="10">
        <v>6.859999999999999</v>
      </c>
      <c r="O25" s="10">
        <v>0.7000357133746796</v>
      </c>
      <c r="P25" s="10">
        <v>0.4949999999999983</v>
      </c>
      <c r="Q25" s="10">
        <v>0.4500000000000002</v>
      </c>
      <c r="R25" s="10">
        <v>1.122474944041064</v>
      </c>
      <c r="S25" s="10">
        <v>0.7082784292446928</v>
      </c>
    </row>
    <row r="26" ht="15.75" customHeight="1">
      <c r="A26" s="9">
        <v>30</v>
      </c>
      <c r="B26" s="10">
        <v>10.03</v>
      </c>
      <c r="C26" s="10">
        <v>3.068843430349621</v>
      </c>
      <c r="D26" s="10">
        <v>0.9704535022349102</v>
      </c>
      <c r="E26" s="10">
        <v>7.234999999999999</v>
      </c>
      <c r="F26" s="10">
        <v>0.9687362902255717</v>
      </c>
      <c r="G26" s="10">
        <v>0.685000000000001</v>
      </c>
      <c r="H26" s="10">
        <v>2.795</v>
      </c>
      <c r="I26" s="10">
        <v>3.21811280100621</v>
      </c>
      <c r="J26" s="10">
        <v>1.1878573146636782</v>
      </c>
      <c r="K26" s="10">
        <v>8.27</v>
      </c>
      <c r="L26" s="10">
        <v>1.0367738422626285</v>
      </c>
      <c r="M26" s="10">
        <v>0.5985816569190912</v>
      </c>
      <c r="N26" s="10">
        <v>5.890000000000001</v>
      </c>
      <c r="O26" s="10">
        <v>1.2515790027001847</v>
      </c>
      <c r="P26" s="10">
        <v>0.8849999999999968</v>
      </c>
      <c r="Q26" s="10">
        <v>2.379999999999999</v>
      </c>
      <c r="R26" s="10">
        <v>1.6252230616133905</v>
      </c>
      <c r="S26" s="10">
        <v>1.068421733212124</v>
      </c>
    </row>
    <row r="27" ht="15.75" customHeight="1">
      <c r="A27" s="9">
        <v>29</v>
      </c>
      <c r="B27" s="10">
        <v>12.915</v>
      </c>
      <c r="C27" s="10">
        <v>0.5303300858899106</v>
      </c>
      <c r="D27" s="10">
        <v>0.1677050983124842</v>
      </c>
      <c r="E27" s="10">
        <v>7.609999999999999</v>
      </c>
      <c r="F27" s="10">
        <v>0.9050966799187938</v>
      </c>
      <c r="G27" s="10">
        <v>0.6400000000000091</v>
      </c>
      <c r="H27" s="10">
        <v>5.305</v>
      </c>
      <c r="I27" s="10">
        <v>1.0490233553167554</v>
      </c>
      <c r="J27" s="10">
        <v>0.6616078899166875</v>
      </c>
      <c r="K27" s="10">
        <v>7.706666666666666</v>
      </c>
      <c r="L27" s="10">
        <v>0.8074858099888503</v>
      </c>
      <c r="M27" s="10">
        <v>0.46620214976386576</v>
      </c>
      <c r="N27" s="10">
        <v>6.246666666666666</v>
      </c>
      <c r="O27" s="10">
        <v>0.7370436441170546</v>
      </c>
      <c r="P27" s="10">
        <v>0.4255323463354842</v>
      </c>
      <c r="Q27" s="10">
        <v>1.46</v>
      </c>
      <c r="R27" s="10">
        <v>1.0932825191443871</v>
      </c>
      <c r="S27" s="10">
        <v>0.631206956728324</v>
      </c>
    </row>
    <row r="28" ht="15.75" customHeight="1">
      <c r="A28" s="9">
        <v>28</v>
      </c>
      <c r="B28" s="10">
        <v>13.69</v>
      </c>
      <c r="C28" s="10">
        <v>0.3252691193457059</v>
      </c>
      <c r="D28" s="10">
        <v>0.10285912696495682</v>
      </c>
      <c r="E28" s="10">
        <v>5.01</v>
      </c>
      <c r="F28" s="10">
        <v>1.5273506473629446</v>
      </c>
      <c r="G28" s="10">
        <v>1.0800000000000012</v>
      </c>
      <c r="H28" s="10">
        <v>8.680000000000001</v>
      </c>
      <c r="I28" s="10">
        <v>1.5616017418022872</v>
      </c>
      <c r="J28" s="10">
        <v>1.084887090899323</v>
      </c>
      <c r="K28" s="10">
        <v>12.786666666666667</v>
      </c>
      <c r="L28" s="10">
        <v>0.8280901722236292</v>
      </c>
      <c r="M28" s="10">
        <v>0.4780980838465959</v>
      </c>
      <c r="N28" s="10">
        <v>6.133333333333333</v>
      </c>
      <c r="O28" s="10">
        <v>0.7055021852080569</v>
      </c>
      <c r="P28" s="10">
        <v>0.40732187654374086</v>
      </c>
      <c r="Q28" s="10">
        <v>6.653333333333334</v>
      </c>
      <c r="R28" s="10">
        <v>1.0878725415537904</v>
      </c>
      <c r="S28" s="10">
        <v>0.6280835047100832</v>
      </c>
    </row>
    <row r="29" ht="15.75" customHeight="1" s="12" customFormat="1">
      <c r="A29" s="9">
        <v>27</v>
      </c>
      <c r="B29" s="10">
        <v>15.613333333333332</v>
      </c>
      <c r="C29" s="10">
        <v>3.327541635101417</v>
      </c>
      <c r="D29" s="10">
        <v>1.052261057596137</v>
      </c>
      <c r="E29" s="10">
        <v>5.785</v>
      </c>
      <c r="F29" s="10">
        <v>0.5868986283848421</v>
      </c>
      <c r="G29" s="10">
        <v>0.41500000000000536</v>
      </c>
      <c r="H29" s="10">
        <v>9.828333333333331</v>
      </c>
      <c r="I29" s="10">
        <v>3.378902681838206</v>
      </c>
      <c r="J29" s="10">
        <v>1.1311402801303407</v>
      </c>
      <c r="K29" s="10">
        <v>14.32</v>
      </c>
      <c r="L29" s="10">
        <v>0.7636753236814561</v>
      </c>
      <c r="M29" s="10">
        <v>0.5399999999999892</v>
      </c>
      <c r="N29" s="10">
        <v>5.199999999999999</v>
      </c>
      <c r="O29" s="10">
        <v>0.49497474683059506</v>
      </c>
      <c r="P29" s="10">
        <v>0.3500000000000083</v>
      </c>
      <c r="Q29" s="10">
        <v>9.120000000000001</v>
      </c>
      <c r="R29" s="10">
        <v>0.9100549433962701</v>
      </c>
      <c r="S29" s="10">
        <v>0.6435060217278422</v>
      </c>
    </row>
    <row r="30" ht="15.75" customHeight="1">
      <c r="A30" s="9">
        <v>26</v>
      </c>
      <c r="B30" s="10">
        <v>19.153333333333332</v>
      </c>
      <c r="C30" s="10">
        <v>3.5914528165261164</v>
      </c>
      <c r="D30" s="10">
        <v>1.1357171009249343</v>
      </c>
      <c r="E30" s="10">
        <v>7.335</v>
      </c>
      <c r="F30" s="10">
        <v>0.7141778489984077</v>
      </c>
      <c r="G30" s="10">
        <v>0.5049999999999962</v>
      </c>
      <c r="H30" s="10">
        <v>11.818333333333332</v>
      </c>
      <c r="I30" s="10">
        <v>3.6617732498522306</v>
      </c>
      <c r="J30" s="10">
        <v>1.2429313469911898</v>
      </c>
      <c r="K30" s="10">
        <v>13.06</v>
      </c>
      <c r="L30" s="10">
        <v>0.7212489168103099</v>
      </c>
      <c r="M30" s="10">
        <v>0.5100000000000222</v>
      </c>
      <c r="N30" s="10">
        <v>6.66</v>
      </c>
      <c r="O30" s="10">
        <v>0.8626702730475835</v>
      </c>
      <c r="P30" s="10">
        <v>0.6099999999999968</v>
      </c>
      <c r="Q30" s="10">
        <v>6.4</v>
      </c>
      <c r="R30" s="10">
        <v>1.1244554237496645</v>
      </c>
      <c r="S30" s="10">
        <v>0.7951100552753806</v>
      </c>
    </row>
    <row r="31" ht="15.75" customHeight="1">
      <c r="A31" s="9">
        <v>25</v>
      </c>
      <c r="B31" s="10">
        <v>24.186666666666667</v>
      </c>
      <c r="C31" s="10">
        <v>2.7500060605993464</v>
      </c>
      <c r="D31" s="10">
        <v>0.8696282730760962</v>
      </c>
      <c r="E31" s="10">
        <v>7.855</v>
      </c>
      <c r="F31" s="10">
        <v>1.1242997820866032</v>
      </c>
      <c r="G31" s="10">
        <v>0.7949999999999947</v>
      </c>
      <c r="H31" s="10">
        <v>16.331666666666667</v>
      </c>
      <c r="I31" s="10">
        <v>2.970956636057336</v>
      </c>
      <c r="J31" s="10">
        <v>1.178252236718991</v>
      </c>
      <c r="K31" s="10">
        <v>17.994999999999997</v>
      </c>
      <c r="L31" s="10">
        <v>0.23334523779174932</v>
      </c>
      <c r="M31" s="10">
        <v>0.16500000000013337</v>
      </c>
      <c r="N31" s="10">
        <v>4.2749999999999995</v>
      </c>
      <c r="O31" s="10">
        <v>0.7000357133746846</v>
      </c>
      <c r="P31" s="10">
        <v>0.49500000000000177</v>
      </c>
      <c r="Q31" s="10">
        <v>13.719999999999999</v>
      </c>
      <c r="R31" s="10">
        <v>0.7379024325749927</v>
      </c>
      <c r="S31" s="10">
        <v>0.5217758139278265</v>
      </c>
    </row>
    <row r="32" ht="15.75" customHeight="1">
      <c r="A32" s="9">
        <v>24</v>
      </c>
      <c r="B32" s="10">
        <v>17.475</v>
      </c>
      <c r="C32" s="10">
        <v>0.5303300858898035</v>
      </c>
      <c r="D32" s="10">
        <v>0.37499999999992417</v>
      </c>
      <c r="E32" s="10">
        <v>5.035</v>
      </c>
      <c r="F32" s="10">
        <v>1.2091525958289895</v>
      </c>
      <c r="G32" s="10">
        <v>0.8549999999999951</v>
      </c>
      <c r="H32" s="10">
        <v>12.440000000000001</v>
      </c>
      <c r="I32" s="10">
        <v>1.320340865079874</v>
      </c>
      <c r="J32" s="10">
        <v>0.9336219791756912</v>
      </c>
      <c r="K32" s="10">
        <v>15.719999999999999</v>
      </c>
      <c r="L32" s="10">
        <v>0.09899494936611579</v>
      </c>
      <c r="M32" s="10">
        <v>0.06999999999999938</v>
      </c>
      <c r="N32" s="10">
        <v>4.45</v>
      </c>
      <c r="O32" s="10">
        <v>0.5374011537017713</v>
      </c>
      <c r="P32" s="10">
        <v>0.37999999999999656</v>
      </c>
      <c r="Q32" s="10">
        <v>11.27</v>
      </c>
      <c r="R32" s="10">
        <v>0.5464430436925651</v>
      </c>
      <c r="S32" s="10">
        <v>0.38639358172722965</v>
      </c>
    </row>
    <row r="33" ht="15.75" customHeight="1">
      <c r="A33" s="9">
        <v>23</v>
      </c>
      <c r="B33" s="10">
        <v>18.883333333333333</v>
      </c>
      <c r="C33" s="10">
        <v>3.2620290209213922</v>
      </c>
      <c r="D33" s="10">
        <v>1.0315441499680649</v>
      </c>
      <c r="E33" s="10">
        <v>6.119999999999999</v>
      </c>
      <c r="F33" s="10">
        <v>1.5556349186104097</v>
      </c>
      <c r="G33" s="10">
        <v>1.1000000000000036</v>
      </c>
      <c r="H33" s="10">
        <v>12.763333333333334</v>
      </c>
      <c r="I33" s="10">
        <v>3.6139774948570715</v>
      </c>
      <c r="J33" s="10">
        <v>1.50800641024279</v>
      </c>
      <c r="K33" s="10">
        <v>14.72</v>
      </c>
      <c r="L33" s="10">
        <v>0.1131370849898477</v>
      </c>
      <c r="M33" s="10">
        <v>0.08000000000000007</v>
      </c>
      <c r="N33" s="10">
        <v>3.795</v>
      </c>
      <c r="O33" s="10">
        <v>0.09192388155425034</v>
      </c>
      <c r="P33" s="10">
        <v>0.0649999999999994</v>
      </c>
      <c r="Q33" s="10">
        <v>10.925</v>
      </c>
      <c r="R33" s="10">
        <v>0.14577379737113205</v>
      </c>
      <c r="S33" s="10">
        <v>0.10307764064044118</v>
      </c>
    </row>
    <row r="34" ht="15.75" customHeight="1">
      <c r="A34" s="9">
        <v>22</v>
      </c>
      <c r="B34" s="10">
        <v>20.533333333333335</v>
      </c>
      <c r="C34" s="10">
        <v>3.092463958291717</v>
      </c>
      <c r="D34" s="10">
        <v>0.9779229690181775</v>
      </c>
      <c r="E34" s="10">
        <v>9.370000000000001</v>
      </c>
      <c r="F34" s="10">
        <v>1.8667619023324722</v>
      </c>
      <c r="G34" s="10">
        <v>1.3199999999999905</v>
      </c>
      <c r="H34" s="10">
        <v>11.163333333333334</v>
      </c>
      <c r="I34" s="10">
        <v>3.612220000682852</v>
      </c>
      <c r="J34" s="10">
        <v>1.6427821929072954</v>
      </c>
      <c r="K34" s="10">
        <v>19.354999999999997</v>
      </c>
      <c r="L34" s="10">
        <v>0.9970205614730969</v>
      </c>
      <c r="M34" s="10">
        <v>0.7050000000000458</v>
      </c>
      <c r="N34" s="10">
        <v>8.705</v>
      </c>
      <c r="O34" s="10">
        <v>0.03535533905932788</v>
      </c>
      <c r="P34" s="10">
        <v>0.025000000000000355</v>
      </c>
      <c r="Q34" s="10">
        <v>10.649999999999997</v>
      </c>
      <c r="R34" s="10">
        <v>0.9976472322420032</v>
      </c>
      <c r="S34" s="10">
        <v>0.7054431231503109</v>
      </c>
    </row>
    <row r="35" ht="15.75" customHeight="1">
      <c r="A35" s="9">
        <v>21</v>
      </c>
      <c r="B35" s="10">
        <v>10.934999999999999</v>
      </c>
      <c r="C35" s="10">
        <v>0.6151828996323316</v>
      </c>
      <c r="D35" s="10">
        <v>0.4350000000000249</v>
      </c>
      <c r="E35" s="10">
        <v>5.654999999999999</v>
      </c>
      <c r="F35" s="10">
        <v>0.9828784258493061</v>
      </c>
      <c r="G35" s="10">
        <v>0.6950000000000035</v>
      </c>
      <c r="H35" s="10">
        <v>5.279999999999999</v>
      </c>
      <c r="I35" s="10">
        <v>1.1595257651298885</v>
      </c>
      <c r="J35" s="10">
        <v>0.8199085314838641</v>
      </c>
      <c r="K35" s="10">
        <v>20.125</v>
      </c>
      <c r="L35" s="10">
        <v>0.9970205614730399</v>
      </c>
      <c r="M35" s="10">
        <v>0.7050000000000055</v>
      </c>
      <c r="N35" s="10">
        <v>7.665</v>
      </c>
      <c r="O35" s="10">
        <v>0.3040559159102146</v>
      </c>
      <c r="P35" s="10">
        <v>0.21499999999999939</v>
      </c>
      <c r="Q35" s="10">
        <v>12.46</v>
      </c>
      <c r="R35" s="10">
        <v>1.0423531071570782</v>
      </c>
      <c r="S35" s="10">
        <v>0.7370549504616379</v>
      </c>
    </row>
    <row r="36" ht="15.75" customHeight="1">
      <c r="A36" s="9">
        <v>20</v>
      </c>
      <c r="B36" s="10">
        <v>19.726666666666667</v>
      </c>
      <c r="C36" s="10">
        <v>3.432802547967687</v>
      </c>
      <c r="D36" s="10">
        <v>1.0855474809207306</v>
      </c>
      <c r="E36" s="10">
        <v>11.125</v>
      </c>
      <c r="F36" s="10">
        <v>1.5344217151748127</v>
      </c>
      <c r="G36" s="10">
        <v>1.0850000000000033</v>
      </c>
      <c r="H36" s="10">
        <v>8.601666666666667</v>
      </c>
      <c r="I36" s="10">
        <v>3.7601307601376655</v>
      </c>
      <c r="J36" s="10">
        <v>1.5348088914693423</v>
      </c>
      <c r="K36" s="10">
        <v>20.095</v>
      </c>
      <c r="L36" s="10">
        <v>0.20506096654414135</v>
      </c>
      <c r="M36" s="10">
        <v>0.1450000000000301</v>
      </c>
      <c r="N36" s="10">
        <v>10.04</v>
      </c>
      <c r="O36" s="10">
        <v>0.3535533905932738</v>
      </c>
      <c r="P36" s="10">
        <v>0.25</v>
      </c>
      <c r="Q36" s="10">
        <v>10.055</v>
      </c>
      <c r="R36" s="10">
        <v>0.40871750635373755</v>
      </c>
      <c r="S36" s="10">
        <v>0.2890069203323836</v>
      </c>
    </row>
    <row r="37" ht="15.75" customHeight="1">
      <c r="A37" s="9">
        <v>19</v>
      </c>
      <c r="B37" s="10">
        <v>23.939999999999998</v>
      </c>
      <c r="C37" s="10">
        <v>3.020397324856485</v>
      </c>
      <c r="D37" s="10">
        <v>0.9551334985225997</v>
      </c>
      <c r="E37" s="10">
        <v>16.4</v>
      </c>
      <c r="F37" s="10">
        <v>1.0606601717798212</v>
      </c>
      <c r="G37" s="10">
        <v>0.7499999999999999</v>
      </c>
      <c r="H37" s="10">
        <v>7.539999999999999</v>
      </c>
      <c r="I37" s="10">
        <v>3.201218518002201</v>
      </c>
      <c r="J37" s="10">
        <v>1.2144052042049311</v>
      </c>
      <c r="K37" s="10">
        <v>28.439999999999998</v>
      </c>
      <c r="L37" s="10">
        <v>1.4849242404918783</v>
      </c>
      <c r="M37" s="10">
        <v>1.0500000000000909</v>
      </c>
      <c r="N37" s="10">
        <v>20.65</v>
      </c>
      <c r="O37" s="10">
        <v>0.07071067811865325</v>
      </c>
      <c r="P37" s="10">
        <v>0.049999999999998934</v>
      </c>
      <c r="Q37" s="10">
        <v>7.789999999999999</v>
      </c>
      <c r="R37" s="10">
        <v>1.486606874731979</v>
      </c>
      <c r="S37" s="10">
        <v>1.0511898020815227</v>
      </c>
    </row>
    <row r="38" ht="15.75" customHeight="1">
      <c r="A38" s="9">
        <v>18</v>
      </c>
      <c r="B38" s="10">
        <v>27.209999999999997</v>
      </c>
      <c r="C38" s="10">
        <v>2.5292884374859437</v>
      </c>
      <c r="D38" s="10">
        <v>0.7998312321983986</v>
      </c>
      <c r="E38" s="10">
        <v>21.98</v>
      </c>
      <c r="F38" s="10">
        <v>3.2526911934581073</v>
      </c>
      <c r="G38" s="10">
        <v>2.299999999999992</v>
      </c>
      <c r="H38" s="10">
        <v>5.229999999999997</v>
      </c>
      <c r="I38" s="10">
        <v>4.120351926716942</v>
      </c>
      <c r="J38" s="10">
        <v>2.435103693890667</v>
      </c>
      <c r="K38" s="10">
        <v>16.9</v>
      </c>
      <c r="L38" s="10">
        <v>0.3535533905932738</v>
      </c>
      <c r="M38" s="10">
        <v>0.25</v>
      </c>
      <c r="N38" s="10">
        <v>5.295</v>
      </c>
      <c r="O38" s="10">
        <v>0.12020815280169861</v>
      </c>
      <c r="P38" s="10">
        <v>0.08499999999998976</v>
      </c>
      <c r="Q38" s="10">
        <v>11.604999999999999</v>
      </c>
      <c r="R38" s="10">
        <v>0.3734300469967522</v>
      </c>
      <c r="S38" s="10">
        <v>0.26405491853021457</v>
      </c>
    </row>
    <row r="39" ht="15.75" customHeight="1">
      <c r="A39" s="9">
        <v>17</v>
      </c>
      <c r="B39" s="10">
        <v>27</v>
      </c>
      <c r="C39" s="10">
        <v>1.7776388834631407</v>
      </c>
      <c r="D39" s="10">
        <v>0.562138772902215</v>
      </c>
      <c r="E39" s="10">
        <v>16.675</v>
      </c>
      <c r="F39" s="10">
        <v>1.8738329701443255</v>
      </c>
      <c r="G39" s="10">
        <v>1.324999999999982</v>
      </c>
      <c r="H39" s="10">
        <v>10.325</v>
      </c>
      <c r="I39" s="10">
        <v>2.582876303658382</v>
      </c>
      <c r="J39" s="10">
        <v>1.4393140727443612</v>
      </c>
      <c r="K39" s="10">
        <v>36.055</v>
      </c>
      <c r="L39" s="10">
        <v>1.6617009357882553</v>
      </c>
      <c r="M39" s="10">
        <v>1.174999999999907</v>
      </c>
      <c r="N39" s="10">
        <v>22.520000000000003</v>
      </c>
      <c r="O39" s="10">
        <v>0.014142135623730649</v>
      </c>
      <c r="P39" s="10">
        <v>0.009999999999999787</v>
      </c>
      <c r="Q39" s="10">
        <v>13.534999999999997</v>
      </c>
      <c r="R39" s="10">
        <v>1.6617611139991102</v>
      </c>
      <c r="S39" s="10">
        <v>1.175042552420882</v>
      </c>
    </row>
    <row r="40" ht="15.75" customHeight="1">
      <c r="A40" s="9">
        <v>16</v>
      </c>
      <c r="B40" s="10">
        <v>26.429999999999996</v>
      </c>
      <c r="C40" s="10">
        <v>2.0735717976477828</v>
      </c>
      <c r="D40" s="10">
        <v>0.655720977245677</v>
      </c>
      <c r="E40" s="10">
        <v>15.485</v>
      </c>
      <c r="F40" s="10">
        <v>1.2091525958290337</v>
      </c>
      <c r="G40" s="10">
        <v>0.8550000000000264</v>
      </c>
      <c r="H40" s="10">
        <v>10.944999999999997</v>
      </c>
      <c r="I40" s="10">
        <v>2.400364555645735</v>
      </c>
      <c r="J40" s="10">
        <v>1.0774947795697531</v>
      </c>
      <c r="K40" s="10">
        <v>24.82</v>
      </c>
      <c r="L40" s="10">
        <v>0.09899494936611705</v>
      </c>
      <c r="M40" s="10">
        <v>0.07000000000000027</v>
      </c>
      <c r="N40" s="10">
        <v>17.285</v>
      </c>
      <c r="O40" s="10">
        <v>1.1101576464628669</v>
      </c>
      <c r="P40" s="10">
        <v>0.7849999999999909</v>
      </c>
      <c r="Q40" s="10">
        <v>7.535</v>
      </c>
      <c r="R40" s="10">
        <v>1.1145626945129519</v>
      </c>
      <c r="S40" s="10">
        <v>0.7881148393476586</v>
      </c>
    </row>
    <row r="41" ht="15.75" customHeight="1">
      <c r="A41" s="9">
        <v>15</v>
      </c>
      <c r="B41" s="10">
        <v>22.97666666666667</v>
      </c>
      <c r="C41" s="10">
        <v>2.027469687401818</v>
      </c>
      <c r="D41" s="10">
        <v>0.6411422099139337</v>
      </c>
      <c r="E41" s="10">
        <v>12.495000000000001</v>
      </c>
      <c r="F41" s="10">
        <v>0.5020458146424458</v>
      </c>
      <c r="G41" s="10">
        <v>0.3549999999999979</v>
      </c>
      <c r="H41" s="10">
        <v>10.48166666666667</v>
      </c>
      <c r="I41" s="10">
        <v>2.0887037447501315</v>
      </c>
      <c r="J41" s="10">
        <v>0.7328631068169015</v>
      </c>
      <c r="K41" s="8">
        <v>24.59</v>
      </c>
      <c r="L41" s="8">
        <v>0.15556349186103965</v>
      </c>
      <c r="M41" s="8">
        <v>0.10999999999999943</v>
      </c>
      <c r="N41" s="10">
        <v>12.32</v>
      </c>
      <c r="O41" s="10">
        <v>0.3676955262170787</v>
      </c>
      <c r="P41" s="10">
        <v>0.2600000000000523</v>
      </c>
      <c r="Q41" s="10">
        <v>12.27</v>
      </c>
      <c r="R41" s="10">
        <v>0.3992492955536104</v>
      </c>
      <c r="S41" s="10">
        <v>0.28231188426991</v>
      </c>
    </row>
    <row r="42" ht="15.75" customHeight="1">
      <c r="A42" s="9">
        <v>14</v>
      </c>
      <c r="B42" s="10">
        <v>18.273333333333333</v>
      </c>
      <c r="C42" s="10">
        <v>2.717376185465191</v>
      </c>
      <c r="D42" s="10">
        <v>0.859309800557014</v>
      </c>
      <c r="E42" s="10">
        <v>10.205</v>
      </c>
      <c r="F42" s="10">
        <v>0.3323401871576562</v>
      </c>
      <c r="G42" s="10">
        <v>0.23499999999998503</v>
      </c>
      <c r="H42" s="10">
        <v>8.068333333333333</v>
      </c>
      <c r="I42" s="10">
        <v>2.7376236653954718</v>
      </c>
      <c r="J42" s="10">
        <v>0.8908638130114659</v>
      </c>
      <c r="K42" s="8">
        <v>21.475</v>
      </c>
      <c r="L42" s="8">
        <v>0.7566042558696081</v>
      </c>
      <c r="M42" s="8">
        <v>0.5350000000000016</v>
      </c>
      <c r="N42" s="10">
        <v>8.105</v>
      </c>
      <c r="O42" s="10">
        <v>0.742462120245882</v>
      </c>
      <c r="P42" s="10">
        <v>0.5250000000000048</v>
      </c>
      <c r="Q42" s="10">
        <v>13.370000000000001</v>
      </c>
      <c r="R42" s="10">
        <v>1.0600471687618498</v>
      </c>
      <c r="S42" s="10">
        <v>0.7495665414091045</v>
      </c>
    </row>
    <row r="43" ht="15.75" customHeight="1">
      <c r="A43" s="9">
        <v>13</v>
      </c>
      <c r="B43" s="10">
        <v>28.636666666666667</v>
      </c>
      <c r="C43" s="10">
        <v>1.7983418288338289</v>
      </c>
      <c r="D43" s="10">
        <v>0.5686856190667564</v>
      </c>
      <c r="E43" s="10">
        <v>12.775</v>
      </c>
      <c r="F43" s="10">
        <v>1.265721138323928</v>
      </c>
      <c r="G43" s="10">
        <v>0.8950000000000056</v>
      </c>
      <c r="H43" s="10">
        <v>15.861666666666666</v>
      </c>
      <c r="I43" s="10">
        <v>2.1991096683279396</v>
      </c>
      <c r="J43" s="10">
        <v>1.0603906512853412</v>
      </c>
      <c r="K43" s="8">
        <v>28.035</v>
      </c>
      <c r="L43" s="8">
        <v>0.7000357133745984</v>
      </c>
      <c r="M43" s="8">
        <v>0.49499999999994077</v>
      </c>
      <c r="N43" s="10">
        <v>11.425</v>
      </c>
      <c r="O43" s="10">
        <v>0.007071067811865324</v>
      </c>
      <c r="P43" s="10">
        <v>0.004999999999999893</v>
      </c>
      <c r="Q43" s="10">
        <v>16.61</v>
      </c>
      <c r="R43" s="10">
        <v>0.7000714249274018</v>
      </c>
      <c r="S43" s="10">
        <v>0.4950252518810948</v>
      </c>
    </row>
  </sheetData>
  <mergeCells>
    <mergeCell ref="A1:A2"/>
    <mergeCell ref="B1:J1"/>
    <mergeCell ref="K1:S1"/>
    <mergeCell ref="B2:D2"/>
    <mergeCell ref="E2:G2"/>
    <mergeCell ref="H2:J2"/>
    <mergeCell ref="K2:M2"/>
    <mergeCell ref="N2:P2"/>
    <mergeCell ref="Q2:S2"/>
  </mergeCells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D00FC12-0C15-49E2-89CA-E260579FA45B}" mc:Ignorable="x14ac xr xr2 xr3">
  <dimension ref="A1:E41"/>
  <sheetViews>
    <sheetView topLeftCell="A1" zoomScale="85" workbookViewId="0">
      <selection activeCell="D16" sqref="D16"/>
    </sheetView>
  </sheetViews>
  <sheetFormatPr defaultRowHeight="15" defaultColWidth="9.140625" customHeight="1"/>
  <cols>
    <col min="1" max="2" style="12" width="24.140625" customWidth="1"/>
    <col min="3" max="3" style="12" width="19.140625" customWidth="1"/>
    <col min="4" max="4" style="12" width="12.8515625" customWidth="1"/>
    <col min="5" max="5" style="12" width="19.57421875" customWidth="1"/>
  </cols>
  <sheetData>
    <row r="1" ht="15" customHeight="1">
      <c r="A1" s="13" t="s">
        <v>13</v>
      </c>
      <c r="B1" s="14" t="s">
        <v>14</v>
      </c>
      <c r="C1" s="14" t="s">
        <v>15</v>
      </c>
      <c r="D1" s="14" t="s">
        <v>16</v>
      </c>
      <c r="E1" s="14" t="s">
        <v>17</v>
      </c>
    </row>
    <row r="2" ht="15" customHeight="1">
      <c r="A2" s="15">
        <v>1</v>
      </c>
      <c r="B2" s="16">
        <v>17.61033596230689</v>
      </c>
      <c r="C2" s="16">
        <v>0.05714504991605957</v>
      </c>
      <c r="D2" s="16">
        <v>18.616047124807224</v>
      </c>
      <c r="E2" s="16">
        <v>0.5910328914858837</v>
      </c>
    </row>
    <row r="3" ht="15" customHeight="1">
      <c r="A3" s="15">
        <v>2</v>
      </c>
      <c r="B3" s="16">
        <v>49.18630127736162</v>
      </c>
      <c r="C3" s="16">
        <v>2.717103715812699</v>
      </c>
      <c r="D3" s="16">
        <v>41.781786555067505</v>
      </c>
      <c r="E3" s="16">
        <v>1.469028504035431</v>
      </c>
    </row>
    <row r="4" ht="15" customHeight="1">
      <c r="A4" s="15">
        <v>3</v>
      </c>
      <c r="B4" s="16">
        <v>79.24401800891911</v>
      </c>
      <c r="C4" s="16">
        <v>2.3551399919038207</v>
      </c>
      <c r="D4" s="16">
        <v>83.98942917962357</v>
      </c>
      <c r="E4" s="16">
        <v>4.0304632258326425</v>
      </c>
    </row>
    <row r="5" ht="15" customHeight="1">
      <c r="A5" s="15">
        <v>4</v>
      </c>
      <c r="B5" s="16">
        <v>67.34507869572367</v>
      </c>
      <c r="C5" s="16">
        <v>0.4348762505236019</v>
      </c>
      <c r="D5" s="16">
        <v>42.72114394277084</v>
      </c>
      <c r="E5" s="16">
        <v>1.745941346752258</v>
      </c>
    </row>
    <row r="6" ht="15" customHeight="1">
      <c r="A6" s="15">
        <v>5</v>
      </c>
      <c r="B6" s="16">
        <v>63.17110138539455</v>
      </c>
      <c r="C6" s="16">
        <v>4.238842497841531</v>
      </c>
      <c r="D6" s="16">
        <v>64.0793625677204</v>
      </c>
      <c r="E6" s="16">
        <v>0.3787928511444403</v>
      </c>
    </row>
    <row r="7" ht="15" customHeight="1">
      <c r="A7" s="15">
        <v>6</v>
      </c>
      <c r="B7" s="16">
        <v>71.27915661339833</v>
      </c>
      <c r="C7" s="16">
        <v>0.8332775081197905</v>
      </c>
      <c r="D7" s="16">
        <v>62.05282295000873</v>
      </c>
      <c r="E7" s="16">
        <v>4.842323095134316</v>
      </c>
    </row>
    <row r="8" ht="15" customHeight="1">
      <c r="A8" s="15">
        <v>7</v>
      </c>
      <c r="B8" s="16">
        <v>38.22541649280488</v>
      </c>
      <c r="C8" s="16">
        <v>1.8100240462233257</v>
      </c>
      <c r="D8" s="16">
        <v>42.53653425810518</v>
      </c>
      <c r="E8" s="16">
        <v>6.626643204257727</v>
      </c>
    </row>
    <row r="9" ht="15" customHeight="1">
      <c r="A9" s="15">
        <v>8</v>
      </c>
      <c r="B9" s="16">
        <v>61.00257876674398</v>
      </c>
      <c r="C9" s="16">
        <v>4.534157756716633</v>
      </c>
      <c r="D9" s="16">
        <v>71.02261174740838</v>
      </c>
      <c r="E9" s="16">
        <v>26.937257338683533</v>
      </c>
    </row>
    <row r="10" ht="15" customHeight="1">
      <c r="A10" s="15">
        <v>9</v>
      </c>
      <c r="B10" s="16">
        <v>51.81614769815576</v>
      </c>
      <c r="C10" s="16">
        <v>1.5421472642729568</v>
      </c>
      <c r="D10" s="16">
        <v>78.03521422822263</v>
      </c>
      <c r="E10" s="16">
        <v>0.6469077129090299</v>
      </c>
    </row>
    <row r="11" ht="15" customHeight="1">
      <c r="A11" s="15">
        <v>10</v>
      </c>
      <c r="B11" s="16">
        <v>27.221365069213228</v>
      </c>
      <c r="C11" s="16">
        <v>4.52003336104844</v>
      </c>
      <c r="D11" s="16">
        <v>26.244410333183282</v>
      </c>
      <c r="E11" s="16">
        <v>1.0994784817381684</v>
      </c>
    </row>
    <row r="12" ht="15" customHeight="1">
      <c r="A12" s="15">
        <v>11</v>
      </c>
      <c r="B12" s="16">
        <v>43.44224654905646</v>
      </c>
      <c r="C12" s="16">
        <v>0.5392621018517783</v>
      </c>
      <c r="D12" s="16">
        <v>37.57877670216039</v>
      </c>
      <c r="E12" s="16">
        <v>1.470924007894077</v>
      </c>
    </row>
    <row r="13" ht="15" customHeight="1">
      <c r="A13" s="15">
        <v>12</v>
      </c>
      <c r="B13" s="16">
        <v>54.05491713831654</v>
      </c>
      <c r="C13" s="16">
        <v>4.003554055772396</v>
      </c>
      <c r="D13" s="16">
        <v>54.55371944914893</v>
      </c>
      <c r="E13" s="16">
        <v>5.607378863050336</v>
      </c>
    </row>
    <row r="14" ht="15" customHeight="1">
      <c r="A14" s="15">
        <v>40</v>
      </c>
      <c r="B14" s="16">
        <v>69.31303374390575</v>
      </c>
      <c r="C14" s="16">
        <v>28.293333762862325</v>
      </c>
      <c r="D14" s="16">
        <v>20.057928283608753</v>
      </c>
      <c r="E14" s="16">
        <v>3.0639342359669666</v>
      </c>
    </row>
    <row r="15" ht="15" customHeight="1">
      <c r="A15" s="15">
        <v>39</v>
      </c>
      <c r="B15" s="16">
        <v>45.874986763079484</v>
      </c>
      <c r="C15" s="16">
        <v>1.2815857251430778</v>
      </c>
      <c r="D15" s="16">
        <v>16.10244008985194</v>
      </c>
      <c r="E15" s="16">
        <v>1.7371085820559935</v>
      </c>
    </row>
    <row r="16" ht="15" customHeight="1">
      <c r="A16" s="15">
        <v>38</v>
      </c>
      <c r="B16" s="16">
        <v>37.78980932133321</v>
      </c>
      <c r="C16" s="16">
        <v>0.8293808473294271</v>
      </c>
      <c r="D16" s="16">
        <v>25.918026698703052</v>
      </c>
      <c r="E16" s="16">
        <v>0.9546420610016884</v>
      </c>
    </row>
    <row r="17" ht="15" customHeight="1">
      <c r="A17" s="15">
        <v>37</v>
      </c>
      <c r="B17" s="16">
        <v>54.86302023624442</v>
      </c>
      <c r="C17" s="16">
        <v>1.2783151149076333</v>
      </c>
      <c r="D17" s="16">
        <v>32.37437089737925</v>
      </c>
      <c r="E17" s="16">
        <v>3.3967591628665863</v>
      </c>
    </row>
    <row r="18" ht="15" customHeight="1">
      <c r="A18" s="15">
        <v>36</v>
      </c>
      <c r="B18" s="16">
        <v>46.75076625369354</v>
      </c>
      <c r="C18" s="16">
        <v>1.0582365260845683</v>
      </c>
      <c r="D18" s="16">
        <v>40.78341239505589</v>
      </c>
      <c r="E18" s="16">
        <v>1.7793679207776838</v>
      </c>
    </row>
    <row r="19" ht="15" customHeight="1">
      <c r="A19" s="15">
        <v>35</v>
      </c>
      <c r="B19" s="16">
        <v>29.05792607225772</v>
      </c>
      <c r="C19" s="16">
        <v>2.4062400941583464</v>
      </c>
      <c r="D19" s="16">
        <v>11.517429795708379</v>
      </c>
      <c r="E19" s="16">
        <v>0.1252578395262813</v>
      </c>
    </row>
    <row r="20" ht="15" customHeight="1">
      <c r="A20" s="15">
        <v>34</v>
      </c>
      <c r="B20" s="16">
        <v>26.914409101432376</v>
      </c>
      <c r="C20" s="16">
        <v>1.1993016346763694</v>
      </c>
      <c r="D20" s="16">
        <v>43.19782495267107</v>
      </c>
      <c r="E20" s="16">
        <v>1.2125672959654432</v>
      </c>
    </row>
    <row r="21" ht="15" customHeight="1">
      <c r="A21" s="15">
        <v>33</v>
      </c>
      <c r="B21" s="16">
        <v>24.445792610014816</v>
      </c>
      <c r="C21" s="16">
        <v>1.7850164976452427</v>
      </c>
      <c r="D21" s="16">
        <v>19.763080438838536</v>
      </c>
      <c r="E21" s="16">
        <v>0.48723373485179683</v>
      </c>
    </row>
    <row r="22" ht="15" customHeight="1">
      <c r="A22" s="15">
        <v>32</v>
      </c>
      <c r="B22" s="16">
        <v>16.42833074537702</v>
      </c>
      <c r="C22" s="16">
        <v>1.0526433834702582</v>
      </c>
      <c r="D22" s="16">
        <v>14.61771108342531</v>
      </c>
      <c r="E22" s="16">
        <v>3.574991972093385</v>
      </c>
    </row>
    <row r="23" ht="15" customHeight="1">
      <c r="A23" s="15">
        <v>31</v>
      </c>
      <c r="B23" s="16">
        <v>14.943155530946797</v>
      </c>
      <c r="C23" s="16">
        <v>0.43777400710798475</v>
      </c>
      <c r="D23" s="16">
        <v>10.940758479512306</v>
      </c>
      <c r="E23" s="16">
        <v>1.2940636875550875</v>
      </c>
    </row>
    <row r="24" ht="15" customHeight="1">
      <c r="A24" s="15">
        <v>30</v>
      </c>
      <c r="B24" s="16">
        <v>15.95707555252746</v>
      </c>
      <c r="C24" s="16">
        <v>0.4635981173555299</v>
      </c>
      <c r="D24" s="16">
        <v>5.995843842919159</v>
      </c>
      <c r="E24" s="16">
        <v>0.004598698377489648</v>
      </c>
    </row>
    <row r="25" ht="15" customHeight="1">
      <c r="A25" s="15">
        <v>29</v>
      </c>
      <c r="B25" s="16">
        <v>14.43675706497206</v>
      </c>
      <c r="C25" s="16">
        <v>0.06004504001618123</v>
      </c>
      <c r="D25" s="16">
        <v>9.470863031628856</v>
      </c>
      <c r="E25" s="16">
        <v>0.4344778788899853</v>
      </c>
    </row>
    <row r="26" ht="15" customHeight="1">
      <c r="A26" s="15">
        <v>28</v>
      </c>
      <c r="B26" s="16">
        <v>7.955776226635313</v>
      </c>
      <c r="C26" s="16">
        <v>0.4241060223767934</v>
      </c>
      <c r="D26" s="16">
        <v>6.79535602166212</v>
      </c>
      <c r="E26" s="16">
        <v>0.04834776519181427</v>
      </c>
    </row>
    <row r="27" ht="15" customHeight="1" s="12" customFormat="1">
      <c r="A27" s="15">
        <v>27</v>
      </c>
      <c r="B27" s="16">
        <v>9.152863417779306</v>
      </c>
      <c r="C27" s="16">
        <v>0.3324996414631933</v>
      </c>
      <c r="D27" s="16">
        <v>11.17119944151217</v>
      </c>
      <c r="E27" s="16">
        <v>2.0506670238045457</v>
      </c>
    </row>
    <row r="28" ht="15" customHeight="1">
      <c r="A28" s="15">
        <v>26</v>
      </c>
      <c r="B28" s="16">
        <v>6.821533923303949</v>
      </c>
      <c r="C28" s="16">
        <v>9.647105790524593</v>
      </c>
      <c r="D28" s="16">
        <v>8.527753358130122</v>
      </c>
      <c r="E28" s="16">
        <v>1.2725696681340162</v>
      </c>
    </row>
    <row r="29" ht="15" customHeight="1">
      <c r="A29" s="15">
        <v>25</v>
      </c>
      <c r="B29" s="16">
        <v>7.00309954244115</v>
      </c>
      <c r="C29" s="16">
        <v>0.39203043434782053</v>
      </c>
      <c r="D29" s="16">
        <v>8.75509726186705</v>
      </c>
      <c r="E29" s="16">
        <v>0.3507458063359485</v>
      </c>
    </row>
    <row r="30" ht="15" customHeight="1">
      <c r="A30" s="15">
        <v>24</v>
      </c>
      <c r="B30" s="16">
        <v>7.015052492385262</v>
      </c>
      <c r="C30" s="16">
        <v>0.9364136311967498</v>
      </c>
      <c r="D30" s="16">
        <v>13.144833494892431</v>
      </c>
      <c r="E30" s="16">
        <v>3.7581827466684836</v>
      </c>
    </row>
    <row r="31" ht="15" customHeight="1">
      <c r="A31" s="15">
        <v>23</v>
      </c>
      <c r="B31" s="16">
        <v>7.152339006585033</v>
      </c>
      <c r="C31" s="16">
        <v>0.10255097439922445</v>
      </c>
      <c r="D31" s="16">
        <v>12.855087240045048</v>
      </c>
      <c r="E31" s="16">
        <v>1.992644954685037</v>
      </c>
    </row>
    <row r="32" ht="15" customHeight="1">
      <c r="A32" s="15">
        <v>22</v>
      </c>
      <c r="B32" s="16">
        <v>10.806967291556493</v>
      </c>
      <c r="C32" s="16">
        <v>0.2210845316661357</v>
      </c>
      <c r="D32" s="16">
        <v>12.43188046726606</v>
      </c>
      <c r="E32" s="16">
        <v>0.5114921004250746</v>
      </c>
    </row>
    <row r="33" ht="15" customHeight="1">
      <c r="A33" s="15">
        <v>21</v>
      </c>
      <c r="B33" s="16">
        <v>5.520989128525276</v>
      </c>
      <c r="C33" s="16">
        <v>0.259104202292139</v>
      </c>
      <c r="D33" s="16">
        <v>24.311606155773944</v>
      </c>
      <c r="E33" s="16">
        <v>3.268592390455823</v>
      </c>
    </row>
    <row r="34" ht="15" customHeight="1">
      <c r="A34" s="15">
        <v>20</v>
      </c>
      <c r="B34" s="16">
        <v>21.12504981848567</v>
      </c>
      <c r="C34" s="16">
        <v>0.07194783428460082</v>
      </c>
      <c r="D34" s="16">
        <v>26.922736741208805</v>
      </c>
      <c r="E34" s="16">
        <v>2.1806087847210565</v>
      </c>
    </row>
    <row r="35" ht="15" customHeight="1">
      <c r="A35" s="15">
        <v>19</v>
      </c>
      <c r="B35" s="16">
        <v>30.888404577845744</v>
      </c>
      <c r="C35" s="16">
        <v>1.0713383155152598</v>
      </c>
      <c r="D35" s="16">
        <v>20.536055990945414</v>
      </c>
      <c r="E35" s="16">
        <v>0.6550297681605008</v>
      </c>
    </row>
    <row r="36" ht="15" customHeight="1">
      <c r="A36" s="15">
        <v>18</v>
      </c>
      <c r="B36" s="16">
        <v>24.233249206223242</v>
      </c>
      <c r="C36" s="16">
        <v>0.13673389761727484</v>
      </c>
      <c r="D36" s="16">
        <v>28.931735268885326</v>
      </c>
      <c r="E36" s="16">
        <v>1.2393244619210306</v>
      </c>
    </row>
    <row r="37" ht="15" customHeight="1">
      <c r="A37" s="15">
        <v>17</v>
      </c>
      <c r="B37" s="16">
        <v>19.60765909858813</v>
      </c>
      <c r="C37" s="16">
        <v>2.332396976621611</v>
      </c>
      <c r="D37" s="16">
        <v>45.48897325183363</v>
      </c>
      <c r="E37" s="16">
        <v>1.7116131311915286</v>
      </c>
    </row>
    <row r="38" ht="15" customHeight="1">
      <c r="A38" s="15">
        <v>16</v>
      </c>
      <c r="B38" s="16">
        <v>30.082566516458225</v>
      </c>
      <c r="C38" s="16">
        <v>1.0100102311892658</v>
      </c>
      <c r="D38" s="16">
        <v>49.240176015892516</v>
      </c>
      <c r="E38" s="16">
        <v>0.27324583676388314</v>
      </c>
    </row>
    <row r="39" ht="15" customHeight="1">
      <c r="A39" s="15">
        <v>15</v>
      </c>
      <c r="B39" s="16">
        <v>24.10242196593648</v>
      </c>
      <c r="C39" s="16">
        <v>0.06915804707947965</v>
      </c>
      <c r="D39" s="16">
        <v>37.55757250898799</v>
      </c>
      <c r="E39" s="16">
        <v>1.4375940608041453</v>
      </c>
    </row>
    <row r="40" ht="15" customHeight="1">
      <c r="A40" s="15">
        <v>14</v>
      </c>
      <c r="B40" s="16">
        <v>16.187274571191292</v>
      </c>
      <c r="C40" s="16">
        <v>0.3257842907470919</v>
      </c>
      <c r="D40" s="16">
        <v>43.33804473686905</v>
      </c>
      <c r="E40" s="16">
        <v>2.114468850973544</v>
      </c>
    </row>
    <row r="41" ht="15" customHeight="1">
      <c r="A41" s="15">
        <v>13</v>
      </c>
      <c r="B41" s="16">
        <v>17.926250851703127</v>
      </c>
      <c r="C41" s="16">
        <v>0.3986007901524398</v>
      </c>
      <c r="D41" s="16">
        <v>44.347749010497864</v>
      </c>
      <c r="E41" s="16">
        <v>3.90437354576798</v>
      </c>
    </row>
  </sheetData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50E9E8A-C1B9-49F3-8071-7DC8A707983B}" mc:Ignorable="x14ac xr xr2 xr3">
  <dimension ref="A1:K45"/>
  <sheetViews>
    <sheetView topLeftCell="A3" zoomScale="85" workbookViewId="0">
      <selection activeCell="B45" sqref="B45"/>
    </sheetView>
  </sheetViews>
  <sheetFormatPr defaultRowHeight="15" defaultColWidth="9.140625" customHeight="1"/>
  <cols>
    <col min="1" max="2" style="22" width="16.7109375" customWidth="1"/>
    <col min="3" max="3" style="22" width="9.140625" customWidth="1"/>
    <col min="4" max="4" style="22" width="11.8515625" customWidth="1"/>
    <col min="5" max="5" style="22" width="13.57421875" customWidth="1"/>
    <col min="6" max="7" style="22" width="9.140625" customWidth="1"/>
    <col min="8" max="8" style="22" width="11.140625" customWidth="1"/>
    <col min="9" max="9" style="22" width="11.8515625" customWidth="1"/>
    <col min="10" max="10" style="22" width="17.00390625" customWidth="1"/>
    <col min="11" max="11" style="22" width="16.140625" customWidth="1"/>
  </cols>
  <sheetData>
    <row r="1" ht="15" customHeight="1">
      <c r="A1" s="17" t="s">
        <v>18</v>
      </c>
      <c r="B1" s="17" t="s">
        <v>19</v>
      </c>
      <c r="C1" s="17" t="s">
        <v>20</v>
      </c>
      <c r="D1" s="17" t="s">
        <v>21</v>
      </c>
      <c r="E1" s="17" t="s">
        <v>22</v>
      </c>
      <c r="F1" s="17" t="s">
        <v>23</v>
      </c>
      <c r="G1" s="17" t="s">
        <v>24</v>
      </c>
      <c r="H1" s="17" t="s">
        <v>25</v>
      </c>
      <c r="I1" s="17" t="s">
        <v>26</v>
      </c>
      <c r="J1" s="17" t="s">
        <v>27</v>
      </c>
      <c r="K1" s="17" t="s">
        <v>28</v>
      </c>
    </row>
    <row r="2" ht="15" customHeight="1">
      <c r="A2" s="17" t="s">
        <v>13</v>
      </c>
      <c r="B2" s="18" t="s">
        <v>29</v>
      </c>
      <c r="C2" s="18" t="s">
        <v>29</v>
      </c>
      <c r="D2" s="18" t="s">
        <v>29</v>
      </c>
      <c r="E2" s="18" t="s">
        <v>29</v>
      </c>
      <c r="F2" s="18" t="s">
        <v>29</v>
      </c>
      <c r="G2" s="18" t="s">
        <v>29</v>
      </c>
      <c r="H2" s="18" t="s">
        <v>29</v>
      </c>
      <c r="I2" s="18" t="s">
        <v>29</v>
      </c>
      <c r="J2" s="18" t="s">
        <v>29</v>
      </c>
      <c r="K2" s="18" t="s">
        <v>29</v>
      </c>
    </row>
    <row r="3" ht="15" customHeight="1">
      <c r="A3" s="18">
        <v>1</v>
      </c>
      <c r="B3" s="19">
        <v>0.66</v>
      </c>
      <c r="C3" s="19">
        <v>1.03</v>
      </c>
      <c r="D3" s="19">
        <f t="shared" si="0" ref="D3:H42">AVERAGE(B3:C3)</f>
        <v>0.845</v>
      </c>
      <c r="E3" s="19">
        <f t="shared" si="1" ref="E3:I42">_xlfn.STDEV.S(B3:C3)</f>
        <v>0.2616295090390228</v>
      </c>
      <c r="F3" s="17">
        <v>0.56</v>
      </c>
      <c r="G3" s="17">
        <v>0.96</v>
      </c>
      <c r="H3" s="20">
        <f t="shared" si="0"/>
        <v>0.76</v>
      </c>
      <c r="I3" s="21">
        <f t="shared" si="1"/>
        <v>0.2828427124746191</v>
      </c>
      <c r="J3" s="21">
        <f t="shared" si="2" ref="J3:J42">AVERAGE(D3,H3)</f>
        <v>0.8025</v>
      </c>
      <c r="K3" s="20">
        <f t="shared" si="3" ref="K3:K42">_xlfn.STDEV.S(D3,H3)</f>
        <v>0.060104076400856514</v>
      </c>
    </row>
    <row r="4" ht="15" customHeight="1">
      <c r="A4" s="18">
        <v>2</v>
      </c>
      <c r="B4" s="19">
        <v>1.75</v>
      </c>
      <c r="C4" s="19">
        <v>2.13</v>
      </c>
      <c r="D4" s="19">
        <f t="shared" si="0"/>
        <v>1.94</v>
      </c>
      <c r="E4" s="19">
        <f t="shared" si="1"/>
        <v>0.268700576850888</v>
      </c>
      <c r="F4" s="17">
        <v>1.22</v>
      </c>
      <c r="G4" s="17">
        <v>1.94</v>
      </c>
      <c r="H4" s="20">
        <f t="shared" si="0"/>
        <v>1.58</v>
      </c>
      <c r="I4" s="21">
        <f t="shared" si="1"/>
        <v>0.5091168824543132</v>
      </c>
      <c r="J4" s="21">
        <f t="shared" si="2"/>
        <v>1.76</v>
      </c>
      <c r="K4" s="20">
        <f t="shared" si="3"/>
        <v>0.25455844122715704</v>
      </c>
    </row>
    <row r="5" ht="15" customHeight="1">
      <c r="A5" s="18">
        <v>3</v>
      </c>
      <c r="B5" s="19">
        <v>3.33</v>
      </c>
      <c r="C5" s="19">
        <v>3.75</v>
      </c>
      <c r="D5" s="19">
        <f t="shared" si="0"/>
        <v>3.54</v>
      </c>
      <c r="E5" s="19">
        <f t="shared" si="1"/>
        <v>0.2969848480983499</v>
      </c>
      <c r="F5" s="17">
        <v>2.6900000000000004</v>
      </c>
      <c r="G5" s="17">
        <v>4.3</v>
      </c>
      <c r="H5" s="20">
        <f t="shared" si="0"/>
        <v>3.495</v>
      </c>
      <c r="I5" s="21">
        <f t="shared" si="1"/>
        <v>1.138441917710342</v>
      </c>
      <c r="J5" s="21">
        <f t="shared" si="2"/>
        <v>3.5175</v>
      </c>
      <c r="K5" s="20">
        <f t="shared" si="3"/>
        <v>0.03181980515339459</v>
      </c>
    </row>
    <row r="6" ht="15" customHeight="1">
      <c r="A6" s="18">
        <v>4</v>
      </c>
      <c r="B6" s="19">
        <v>2.74</v>
      </c>
      <c r="C6" s="19">
        <v>3.03</v>
      </c>
      <c r="D6" s="19">
        <f t="shared" si="0"/>
        <v>2.885</v>
      </c>
      <c r="E6" s="19">
        <f t="shared" si="1"/>
        <v>0.2050609665440985</v>
      </c>
      <c r="F6" s="17">
        <v>1.4000000000000001</v>
      </c>
      <c r="G6" s="17">
        <v>2.17</v>
      </c>
      <c r="H6" s="20">
        <f t="shared" si="0"/>
        <v>1.7850000000000001</v>
      </c>
      <c r="I6" s="21">
        <f t="shared" si="1"/>
        <v>0.5444722215136417</v>
      </c>
      <c r="J6" s="21">
        <f t="shared" si="2"/>
        <v>2.335</v>
      </c>
      <c r="K6" s="20">
        <f t="shared" si="3"/>
        <v>0.7778174593052025</v>
      </c>
    </row>
    <row r="7" ht="15" customHeight="1">
      <c r="A7" s="18">
        <v>5</v>
      </c>
      <c r="B7" s="19">
        <v>3.6399999999999997</v>
      </c>
      <c r="C7" s="19">
        <v>3.03</v>
      </c>
      <c r="D7" s="19">
        <f t="shared" si="0"/>
        <v>3.335</v>
      </c>
      <c r="E7" s="19">
        <f t="shared" si="1"/>
        <v>0.4313351365237939</v>
      </c>
      <c r="F7" s="17">
        <v>2.1</v>
      </c>
      <c r="G7" s="17">
        <v>3.15</v>
      </c>
      <c r="H7" s="20">
        <f t="shared" si="0"/>
        <v>2.625</v>
      </c>
      <c r="I7" s="21">
        <f t="shared" si="1"/>
        <v>0.7424621202458747</v>
      </c>
      <c r="J7" s="21">
        <f t="shared" si="2"/>
        <v>2.98</v>
      </c>
      <c r="K7" s="20">
        <f t="shared" si="3"/>
        <v>0.5020458146424492</v>
      </c>
    </row>
    <row r="8" ht="15" customHeight="1">
      <c r="A8" s="18">
        <v>6</v>
      </c>
      <c r="B8" s="19">
        <v>4.12</v>
      </c>
      <c r="C8" s="19">
        <v>3.66</v>
      </c>
      <c r="D8" s="19">
        <f t="shared" si="0"/>
        <v>3.89</v>
      </c>
      <c r="E8" s="19">
        <f t="shared" si="1"/>
        <v>0.3252691193458118</v>
      </c>
      <c r="F8" s="17">
        <v>2</v>
      </c>
      <c r="G8" s="17">
        <v>3.14</v>
      </c>
      <c r="H8" s="20">
        <f t="shared" si="0"/>
        <v>2.5700000000000003</v>
      </c>
      <c r="I8" s="21">
        <f t="shared" si="1"/>
        <v>0.8061017305526624</v>
      </c>
      <c r="J8" s="21">
        <f t="shared" si="2"/>
        <v>3.2300000000000004</v>
      </c>
      <c r="K8" s="20">
        <f t="shared" si="3"/>
        <v>0.9333809511662399</v>
      </c>
    </row>
    <row r="9" ht="15" customHeight="1">
      <c r="A9" s="18">
        <v>7</v>
      </c>
      <c r="B9" s="19">
        <v>2.71</v>
      </c>
      <c r="C9" s="19">
        <v>2.23</v>
      </c>
      <c r="D9" s="19">
        <f t="shared" si="0"/>
        <v>2.4699999999999998</v>
      </c>
      <c r="E9" s="19">
        <f t="shared" si="1"/>
        <v>0.33941125496954283</v>
      </c>
      <c r="F9" s="17">
        <v>1.34</v>
      </c>
      <c r="G9" s="17">
        <v>2.24</v>
      </c>
      <c r="H9" s="20">
        <f t="shared" si="0"/>
        <v>1.79</v>
      </c>
      <c r="I9" s="21">
        <f t="shared" si="1"/>
        <v>0.6363961030678936</v>
      </c>
      <c r="J9" s="21">
        <f t="shared" si="2"/>
        <v>2.13</v>
      </c>
      <c r="K9" s="20">
        <f t="shared" si="3"/>
        <v>0.4808326112068517</v>
      </c>
    </row>
    <row r="10" ht="15" customHeight="1">
      <c r="A10" s="18">
        <v>8</v>
      </c>
      <c r="B10" s="19">
        <v>3.3000000000000003</v>
      </c>
      <c r="C10" s="19">
        <v>2.54</v>
      </c>
      <c r="D10" s="19">
        <f t="shared" si="0"/>
        <v>2.92</v>
      </c>
      <c r="E10" s="19">
        <f t="shared" si="1"/>
        <v>0.5374011537017812</v>
      </c>
      <c r="F10" s="17">
        <v>1.52</v>
      </c>
      <c r="G10" s="17">
        <v>2.71</v>
      </c>
      <c r="H10" s="20">
        <f t="shared" si="0"/>
        <v>2.115</v>
      </c>
      <c r="I10" s="21">
        <f t="shared" si="1"/>
        <v>0.8414570696119905</v>
      </c>
      <c r="J10" s="21">
        <f t="shared" si="2"/>
        <v>2.5175</v>
      </c>
      <c r="K10" s="20">
        <f t="shared" si="3"/>
        <v>0.5692209588551694</v>
      </c>
    </row>
    <row r="11" ht="15" customHeight="1">
      <c r="A11" s="18">
        <v>9</v>
      </c>
      <c r="B11" s="19">
        <v>3.73</v>
      </c>
      <c r="C11" s="19">
        <v>2.23</v>
      </c>
      <c r="D11" s="19">
        <f t="shared" si="0"/>
        <v>2.98</v>
      </c>
      <c r="E11" s="19">
        <f t="shared" si="1"/>
        <v>1.0606601717798212</v>
      </c>
      <c r="F11" s="17">
        <v>1.96</v>
      </c>
      <c r="G11" s="17">
        <v>1.77</v>
      </c>
      <c r="H11" s="20">
        <f t="shared" si="0"/>
        <v>1.865</v>
      </c>
      <c r="I11" s="21">
        <f t="shared" si="1"/>
        <v>0.134350288425444</v>
      </c>
      <c r="J11" s="21">
        <f t="shared" si="2"/>
        <v>2.4225</v>
      </c>
      <c r="K11" s="20">
        <f t="shared" si="3"/>
        <v>0.7884240610230012</v>
      </c>
    </row>
    <row r="12" ht="15" customHeight="1">
      <c r="A12" s="18">
        <v>10</v>
      </c>
      <c r="B12" s="19">
        <v>0.76</v>
      </c>
      <c r="C12" s="19">
        <v>1.7599999999999998</v>
      </c>
      <c r="D12" s="19">
        <f t="shared" si="0"/>
        <v>1.2599999999999998</v>
      </c>
      <c r="E12" s="19">
        <f t="shared" si="1"/>
        <v>0.7071067811865478</v>
      </c>
      <c r="F12" s="17">
        <v>0.8699999999999999</v>
      </c>
      <c r="G12" s="17">
        <v>1.46</v>
      </c>
      <c r="H12" s="20">
        <f t="shared" si="0"/>
        <v>1.165</v>
      </c>
      <c r="I12" s="21">
        <f t="shared" si="1"/>
        <v>0.4171930009000623</v>
      </c>
      <c r="J12" s="21">
        <f t="shared" si="2"/>
        <v>1.2125</v>
      </c>
      <c r="K12" s="20">
        <f t="shared" si="3"/>
        <v>0.06717514421272185</v>
      </c>
    </row>
    <row r="13" ht="15" customHeight="1">
      <c r="A13" s="18">
        <v>11</v>
      </c>
      <c r="B13" s="19">
        <v>2.7700000000000005</v>
      </c>
      <c r="C13" s="19">
        <v>2.63</v>
      </c>
      <c r="D13" s="19">
        <f t="shared" si="0"/>
        <v>2.7</v>
      </c>
      <c r="E13" s="19">
        <f t="shared" si="1"/>
        <v>0.09899494936611705</v>
      </c>
      <c r="F13" s="17">
        <v>0.98</v>
      </c>
      <c r="G13" s="17">
        <v>1.7599999999999998</v>
      </c>
      <c r="H13" s="20">
        <f t="shared" si="0"/>
        <v>1.3699999999999999</v>
      </c>
      <c r="I13" s="21">
        <f t="shared" si="1"/>
        <v>0.5515432893255073</v>
      </c>
      <c r="J13" s="21">
        <f t="shared" si="2"/>
        <v>2.035</v>
      </c>
      <c r="K13" s="20">
        <f t="shared" si="3"/>
        <v>0.9404520189781078</v>
      </c>
    </row>
    <row r="14" ht="15" customHeight="1">
      <c r="A14" s="18">
        <v>12</v>
      </c>
      <c r="B14" s="19">
        <v>3.54</v>
      </c>
      <c r="C14" s="19">
        <v>3.18</v>
      </c>
      <c r="D14" s="19">
        <f t="shared" si="0"/>
        <v>3.3600000000000003</v>
      </c>
      <c r="E14" s="19">
        <f t="shared" si="1"/>
        <v>0.25455844122715704</v>
      </c>
      <c r="F14" s="17">
        <v>1.6</v>
      </c>
      <c r="G14" s="17">
        <v>2.6500000000000004</v>
      </c>
      <c r="H14" s="20">
        <f t="shared" si="0"/>
        <v>2.125</v>
      </c>
      <c r="I14" s="21">
        <f t="shared" si="1"/>
        <v>0.742462120245877</v>
      </c>
      <c r="J14" s="21">
        <f t="shared" si="2"/>
        <v>2.7425</v>
      </c>
      <c r="K14" s="20">
        <f t="shared" si="3"/>
        <v>0.8732768747653858</v>
      </c>
    </row>
    <row r="15" ht="15" customHeight="1">
      <c r="A15" s="18">
        <v>40</v>
      </c>
      <c r="B15" s="19">
        <v>0.95</v>
      </c>
      <c r="C15" s="19">
        <v>0.62</v>
      </c>
      <c r="D15" s="19">
        <f t="shared" si="0"/>
        <v>0.7849999999999999</v>
      </c>
      <c r="E15" s="19">
        <f t="shared" si="1"/>
        <v>0.2333452377915609</v>
      </c>
      <c r="F15" s="17">
        <v>1.96</v>
      </c>
      <c r="G15" s="17">
        <v>2.18</v>
      </c>
      <c r="H15" s="20">
        <f t="shared" si="0"/>
        <v>2.0700000000000003</v>
      </c>
      <c r="I15" s="21">
        <f t="shared" si="1"/>
        <v>0.1555634918610406</v>
      </c>
      <c r="J15" s="21">
        <f t="shared" si="2"/>
        <v>1.4275000000000002</v>
      </c>
      <c r="K15" s="20">
        <f t="shared" si="3"/>
        <v>0.9086322138247136</v>
      </c>
    </row>
    <row r="16" ht="15" customHeight="1">
      <c r="A16" s="18">
        <v>39</v>
      </c>
      <c r="B16" s="19">
        <v>2.45</v>
      </c>
      <c r="C16" s="19">
        <v>1.6800000000000002</v>
      </c>
      <c r="D16" s="19">
        <f t="shared" si="0"/>
        <v>2.0650000000000004</v>
      </c>
      <c r="E16" s="19">
        <f t="shared" si="1"/>
        <v>0.54447222151364</v>
      </c>
      <c r="F16" s="17">
        <v>2.15</v>
      </c>
      <c r="G16" s="17">
        <v>2.333</v>
      </c>
      <c r="H16" s="20">
        <f t="shared" si="0"/>
        <v>2.2415000000000003</v>
      </c>
      <c r="I16" s="21">
        <f t="shared" si="1"/>
        <v>0.1294005409571384</v>
      </c>
      <c r="J16" s="21">
        <f t="shared" si="2"/>
        <v>2.1532500000000003</v>
      </c>
      <c r="K16" s="20">
        <f t="shared" si="3"/>
        <v>0.12480434687942556</v>
      </c>
    </row>
    <row r="17" ht="15" customHeight="1">
      <c r="A17" s="18">
        <v>38</v>
      </c>
      <c r="B17" s="19">
        <v>1.87</v>
      </c>
      <c r="C17" s="19">
        <v>1.11</v>
      </c>
      <c r="D17" s="19">
        <f t="shared" si="0"/>
        <v>1.4900000000000002</v>
      </c>
      <c r="E17" s="19">
        <f t="shared" si="1"/>
        <v>0.5374011537017754</v>
      </c>
      <c r="F17" s="17">
        <v>1.59</v>
      </c>
      <c r="G17" s="17">
        <v>2.3499999999999996</v>
      </c>
      <c r="H17" s="20">
        <f t="shared" si="0"/>
        <v>1.9699999999999998</v>
      </c>
      <c r="I17" s="21">
        <f t="shared" si="1"/>
        <v>0.5374011537017771</v>
      </c>
      <c r="J17" s="21">
        <f t="shared" si="2"/>
        <v>1.73</v>
      </c>
      <c r="K17" s="20">
        <f t="shared" si="3"/>
        <v>0.33941125496954244</v>
      </c>
    </row>
    <row r="18" ht="15" customHeight="1">
      <c r="A18" s="18">
        <v>37</v>
      </c>
      <c r="B18" s="19">
        <v>2.9699999999999998</v>
      </c>
      <c r="C18" s="19">
        <v>2.3000000000000003</v>
      </c>
      <c r="D18" s="19">
        <f t="shared" si="0"/>
        <v>2.635</v>
      </c>
      <c r="E18" s="19">
        <f t="shared" si="1"/>
        <v>0.4737615433949878</v>
      </c>
      <c r="F18" s="17">
        <v>2.36</v>
      </c>
      <c r="G18" s="17">
        <v>1.92</v>
      </c>
      <c r="H18" s="20">
        <f t="shared" si="0"/>
        <v>2.1399999999999997</v>
      </c>
      <c r="I18" s="21">
        <f t="shared" si="1"/>
        <v>0.31112698372208664</v>
      </c>
      <c r="J18" s="21">
        <f t="shared" si="2"/>
        <v>2.3874999999999997</v>
      </c>
      <c r="K18" s="20">
        <f t="shared" si="3"/>
        <v>0.3500178566873398</v>
      </c>
    </row>
    <row r="19" ht="15" customHeight="1">
      <c r="A19" s="18">
        <v>36</v>
      </c>
      <c r="B19" s="19">
        <v>1.75</v>
      </c>
      <c r="C19" s="19">
        <v>1.21</v>
      </c>
      <c r="D19" s="19">
        <f t="shared" si="0"/>
        <v>1.48</v>
      </c>
      <c r="E19" s="19">
        <f t="shared" si="1"/>
        <v>0.38183766184073614</v>
      </c>
      <c r="F19" s="17">
        <v>1.8599999999999999</v>
      </c>
      <c r="G19" s="17">
        <v>1.9500000000000002</v>
      </c>
      <c r="H19" s="20">
        <f t="shared" si="0"/>
        <v>1.905</v>
      </c>
      <c r="I19" s="21">
        <f t="shared" si="1"/>
        <v>0.0636396103067895</v>
      </c>
      <c r="J19" s="21">
        <f t="shared" si="2"/>
        <v>1.6925</v>
      </c>
      <c r="K19" s="20">
        <f t="shared" si="3"/>
        <v>0.3005203820042835</v>
      </c>
    </row>
    <row r="20" ht="15" customHeight="1">
      <c r="A20" s="18">
        <v>35</v>
      </c>
      <c r="B20" s="19">
        <v>1.42</v>
      </c>
      <c r="C20" s="19">
        <v>0.8699999999999999</v>
      </c>
      <c r="D20" s="19">
        <f t="shared" si="0"/>
        <v>1.145</v>
      </c>
      <c r="E20" s="19">
        <f t="shared" si="1"/>
        <v>0.3889087296526007</v>
      </c>
      <c r="F20" s="17">
        <v>1.34</v>
      </c>
      <c r="G20" s="17">
        <v>1.56</v>
      </c>
      <c r="H20" s="20">
        <f t="shared" si="0"/>
        <v>1.4500000000000002</v>
      </c>
      <c r="I20" s="21">
        <f t="shared" si="1"/>
        <v>0.15556349186104043</v>
      </c>
      <c r="J20" s="21">
        <f t="shared" si="2"/>
        <v>1.2975</v>
      </c>
      <c r="K20" s="20">
        <f t="shared" si="3"/>
        <v>0.21566756826189792</v>
      </c>
    </row>
    <row r="21" ht="15" customHeight="1">
      <c r="A21" s="18">
        <v>34</v>
      </c>
      <c r="B21" s="19">
        <v>1.43</v>
      </c>
      <c r="C21" s="19">
        <v>1</v>
      </c>
      <c r="D21" s="19">
        <f t="shared" si="0"/>
        <v>1.2149999999999999</v>
      </c>
      <c r="E21" s="19">
        <f t="shared" si="1"/>
        <v>0.304055915910216</v>
      </c>
      <c r="F21" s="17">
        <v>0.99</v>
      </c>
      <c r="G21" s="17">
        <v>0.99</v>
      </c>
      <c r="H21" s="20">
        <f t="shared" si="0"/>
        <v>0.99</v>
      </c>
      <c r="I21" s="21">
        <f t="shared" si="1"/>
        <v>0</v>
      </c>
      <c r="J21" s="21">
        <f t="shared" si="2"/>
        <v>1.1025</v>
      </c>
      <c r="K21" s="20">
        <f t="shared" si="3"/>
        <v>0.15909902576697202</v>
      </c>
    </row>
    <row r="22" ht="15" customHeight="1">
      <c r="A22" s="18">
        <v>33</v>
      </c>
      <c r="B22" s="19">
        <v>1.37</v>
      </c>
      <c r="C22" s="19">
        <v>1.29</v>
      </c>
      <c r="D22" s="19">
        <f t="shared" si="0"/>
        <v>1.33</v>
      </c>
      <c r="E22" s="19">
        <f t="shared" si="1"/>
        <v>0.05656854249492385</v>
      </c>
      <c r="F22" s="17">
        <v>1.45</v>
      </c>
      <c r="G22" s="17">
        <v>1.6900000000000002</v>
      </c>
      <c r="H22" s="20">
        <f t="shared" si="0"/>
        <v>1.57</v>
      </c>
      <c r="I22" s="21">
        <f t="shared" si="1"/>
        <v>0.16970562748477155</v>
      </c>
      <c r="J22" s="21">
        <f t="shared" si="2"/>
        <v>1.4500000000000002</v>
      </c>
      <c r="K22" s="20">
        <f t="shared" si="3"/>
        <v>0.16970562748477142</v>
      </c>
    </row>
    <row r="23" ht="15" customHeight="1">
      <c r="A23" s="18">
        <v>32</v>
      </c>
      <c r="B23" s="19">
        <v>0.97</v>
      </c>
      <c r="C23" s="19">
        <v>0.77</v>
      </c>
      <c r="D23" s="19">
        <f t="shared" si="0"/>
        <v>0.87</v>
      </c>
      <c r="E23" s="19">
        <f t="shared" si="1"/>
        <v>0.14142135623730878</v>
      </c>
      <c r="F23" s="17">
        <v>1.09</v>
      </c>
      <c r="G23" s="17">
        <v>1.22</v>
      </c>
      <c r="H23" s="20">
        <f t="shared" si="0"/>
        <v>1.155</v>
      </c>
      <c r="I23" s="21">
        <f t="shared" si="1"/>
        <v>0.0919238815542511</v>
      </c>
      <c r="J23" s="21">
        <f t="shared" si="2"/>
        <v>1.0125</v>
      </c>
      <c r="K23" s="20">
        <f t="shared" si="3"/>
        <v>0.20152543263816589</v>
      </c>
    </row>
    <row r="24" ht="15" customHeight="1">
      <c r="A24" s="18">
        <v>31</v>
      </c>
      <c r="B24" s="19">
        <v>0.5700000000000001</v>
      </c>
      <c r="C24" s="19">
        <v>1.3900000000000001</v>
      </c>
      <c r="D24" s="19">
        <f t="shared" si="0"/>
        <v>0.9800000000000001</v>
      </c>
      <c r="E24" s="19">
        <f t="shared" si="1"/>
        <v>0.5798275605729692</v>
      </c>
      <c r="F24" s="17">
        <v>0.76</v>
      </c>
      <c r="G24" s="17">
        <v>0.8500000000000001</v>
      </c>
      <c r="H24" s="20">
        <f t="shared" si="0"/>
        <v>0.805</v>
      </c>
      <c r="I24" s="21">
        <f t="shared" si="1"/>
        <v>0.06363961030678934</v>
      </c>
      <c r="J24" s="21">
        <f t="shared" si="2"/>
        <v>0.8925000000000001</v>
      </c>
      <c r="K24" s="20">
        <f t="shared" si="3"/>
        <v>0.12374368670764585</v>
      </c>
    </row>
    <row r="25" ht="15" customHeight="1">
      <c r="A25" s="18">
        <v>30</v>
      </c>
      <c r="B25" s="19">
        <v>0.8500000000000001</v>
      </c>
      <c r="C25" s="19">
        <v>0.6</v>
      </c>
      <c r="D25" s="19">
        <f t="shared" si="0"/>
        <v>0.7250000000000001</v>
      </c>
      <c r="E25" s="19">
        <f t="shared" si="1"/>
        <v>0.17677669529663625</v>
      </c>
      <c r="F25" s="17">
        <v>0.76</v>
      </c>
      <c r="G25" s="17">
        <v>0.79</v>
      </c>
      <c r="H25" s="20">
        <f t="shared" si="0"/>
        <v>0.775</v>
      </c>
      <c r="I25" s="21">
        <f t="shared" si="1"/>
        <v>0.021213203435596444</v>
      </c>
      <c r="J25" s="21">
        <f t="shared" si="2"/>
        <v>0.75</v>
      </c>
      <c r="K25" s="20">
        <f t="shared" si="3"/>
        <v>0.03535533905932733</v>
      </c>
    </row>
    <row r="26" ht="15" customHeight="1">
      <c r="A26" s="18">
        <v>29</v>
      </c>
      <c r="B26" s="19">
        <v>0.8400000000000001</v>
      </c>
      <c r="C26" s="19">
        <v>0.56</v>
      </c>
      <c r="D26" s="19">
        <f t="shared" si="0"/>
        <v>0.7000000000000001</v>
      </c>
      <c r="E26" s="19">
        <f t="shared" si="1"/>
        <v>0.19798989873223305</v>
      </c>
      <c r="F26" s="17">
        <v>0.66</v>
      </c>
      <c r="G26" s="17">
        <v>0.78</v>
      </c>
      <c r="H26" s="20">
        <f t="shared" si="0"/>
        <v>0.72</v>
      </c>
      <c r="I26" s="21">
        <f t="shared" si="1"/>
        <v>0.08485281374238571</v>
      </c>
      <c r="J26" s="21">
        <f t="shared" si="2"/>
        <v>0.71</v>
      </c>
      <c r="K26" s="20">
        <f t="shared" si="3"/>
        <v>0.014142135623730885</v>
      </c>
    </row>
    <row r="27" ht="15" customHeight="1">
      <c r="A27" s="18">
        <v>28</v>
      </c>
      <c r="B27" s="19">
        <v>0.48</v>
      </c>
      <c r="C27" s="19">
        <v>0.44999999999999996</v>
      </c>
      <c r="D27" s="19">
        <f t="shared" si="0"/>
        <v>0.46499999999999997</v>
      </c>
      <c r="E27" s="19">
        <f t="shared" si="1"/>
        <v>0.021213203435596444</v>
      </c>
      <c r="F27" s="17">
        <v>0.5800000000000001</v>
      </c>
      <c r="G27" s="17">
        <v>0.56</v>
      </c>
      <c r="H27" s="20">
        <f t="shared" si="0"/>
        <v>0.5700000000000001</v>
      </c>
      <c r="I27" s="21">
        <f t="shared" si="1"/>
        <v>0.014142135623730963</v>
      </c>
      <c r="J27" s="21">
        <f t="shared" si="2"/>
        <v>0.5175000000000001</v>
      </c>
      <c r="K27" s="20">
        <f t="shared" si="3"/>
        <v>0.07424621202458695</v>
      </c>
    </row>
    <row r="28" ht="15" customHeight="1">
      <c r="A28" s="18">
        <v>27</v>
      </c>
      <c r="B28" s="19">
        <v>0.62</v>
      </c>
      <c r="C28" s="19">
        <v>0.52</v>
      </c>
      <c r="D28" s="19">
        <f t="shared" si="0"/>
        <v>0.5700000000000001</v>
      </c>
      <c r="E28" s="19">
        <f t="shared" si="1"/>
        <v>0.07071067811865474</v>
      </c>
      <c r="F28" s="17">
        <v>0.5800000000000001</v>
      </c>
      <c r="G28" s="17">
        <v>0.5700000000000001</v>
      </c>
      <c r="H28" s="20">
        <f t="shared" si="0"/>
        <v>0.5750000000000001</v>
      </c>
      <c r="I28" s="21">
        <f t="shared" si="1"/>
        <v>0.007071067811865481</v>
      </c>
      <c r="J28" s="21">
        <f t="shared" si="2"/>
        <v>0.5725</v>
      </c>
      <c r="K28" s="20">
        <f t="shared" si="3"/>
        <v>0.0035355339059327407</v>
      </c>
    </row>
    <row r="29" ht="15" customHeight="1">
      <c r="A29" s="18">
        <v>26</v>
      </c>
      <c r="B29" s="19">
        <v>0.8400000000000001</v>
      </c>
      <c r="C29" s="19">
        <v>0.8200000000000001</v>
      </c>
      <c r="D29" s="19">
        <f t="shared" si="0"/>
        <v>0.8300000000000001</v>
      </c>
      <c r="E29" s="19">
        <f t="shared" si="1"/>
        <v>0.014142135623730963</v>
      </c>
      <c r="F29" s="17">
        <v>0.68</v>
      </c>
      <c r="G29" s="17">
        <v>0.68</v>
      </c>
      <c r="H29" s="20">
        <f t="shared" si="0"/>
        <v>0.68</v>
      </c>
      <c r="I29" s="21">
        <f t="shared" si="1"/>
        <v>0</v>
      </c>
      <c r="J29" s="21">
        <f t="shared" si="2"/>
        <v>0.7550000000000001</v>
      </c>
      <c r="K29" s="20">
        <f t="shared" si="3"/>
        <v>0.10606601717798214</v>
      </c>
    </row>
    <row r="30" ht="15" customHeight="1">
      <c r="A30" s="18">
        <v>25</v>
      </c>
      <c r="B30" s="19">
        <v>0.81</v>
      </c>
      <c r="C30" s="19">
        <v>0.73</v>
      </c>
      <c r="D30" s="19">
        <f t="shared" si="0"/>
        <v>0.77</v>
      </c>
      <c r="E30" s="19">
        <f t="shared" si="1"/>
        <v>0.05656854249492385</v>
      </c>
      <c r="F30" s="17">
        <v>0.37</v>
      </c>
      <c r="G30" s="17">
        <v>0.37</v>
      </c>
      <c r="H30" s="20">
        <f t="shared" si="0"/>
        <v>0.37</v>
      </c>
      <c r="I30" s="21">
        <f t="shared" si="1"/>
        <v>0</v>
      </c>
      <c r="J30" s="21">
        <f t="shared" si="2"/>
        <v>0.5700000000000001</v>
      </c>
      <c r="K30" s="20">
        <f t="shared" si="3"/>
        <v>0.28284271247461873</v>
      </c>
    </row>
    <row r="31" ht="15" customHeight="1">
      <c r="A31" s="18">
        <v>24</v>
      </c>
      <c r="B31" s="19">
        <v>0.56</v>
      </c>
      <c r="C31" s="19">
        <v>0.42999999999999994</v>
      </c>
      <c r="D31" s="19">
        <f t="shared" si="0"/>
        <v>0.495</v>
      </c>
      <c r="E31" s="19">
        <f t="shared" si="1"/>
        <v>0.09192388155425125</v>
      </c>
      <c r="F31" s="17">
        <v>0.51</v>
      </c>
      <c r="G31" s="17">
        <v>0.5</v>
      </c>
      <c r="H31" s="20">
        <f t="shared" si="0"/>
        <v>0.505</v>
      </c>
      <c r="I31" s="21">
        <f t="shared" si="1"/>
        <v>0.007071067811865481</v>
      </c>
      <c r="J31" s="21">
        <f t="shared" si="2"/>
        <v>0.5</v>
      </c>
      <c r="K31" s="20">
        <f t="shared" si="3"/>
        <v>0.007071067811865481</v>
      </c>
    </row>
    <row r="32" ht="15" customHeight="1">
      <c r="A32" s="18">
        <v>23</v>
      </c>
      <c r="B32" s="19">
        <v>0.62</v>
      </c>
      <c r="C32" s="19">
        <v>0.55</v>
      </c>
      <c r="D32" s="19">
        <f t="shared" si="0"/>
        <v>0.585</v>
      </c>
      <c r="E32" s="19">
        <f t="shared" si="1"/>
        <v>0.04949747468305829</v>
      </c>
      <c r="F32" s="17">
        <v>0.39</v>
      </c>
      <c r="G32" s="17">
        <v>0.4</v>
      </c>
      <c r="H32" s="20">
        <f t="shared" si="0"/>
        <v>0.395</v>
      </c>
      <c r="I32" s="21">
        <f t="shared" si="1"/>
        <v>0.007071067811865481</v>
      </c>
      <c r="J32" s="21">
        <f t="shared" si="2"/>
        <v>0.49</v>
      </c>
      <c r="K32" s="20">
        <f t="shared" si="3"/>
        <v>0.13435028842544408</v>
      </c>
    </row>
    <row r="33" ht="15" customHeight="1">
      <c r="A33" s="18">
        <v>22</v>
      </c>
      <c r="B33" s="19">
        <v>0.96</v>
      </c>
      <c r="C33" s="19">
        <v>0.8899999999999999</v>
      </c>
      <c r="D33" s="19">
        <f t="shared" si="0"/>
        <v>0.9249999999999999</v>
      </c>
      <c r="E33" s="19">
        <f t="shared" si="1"/>
        <v>0.049497474683058366</v>
      </c>
      <c r="F33" s="17">
        <v>0.9099999999999999</v>
      </c>
      <c r="G33" s="17">
        <v>0.8500000000000001</v>
      </c>
      <c r="H33" s="20">
        <f t="shared" si="0"/>
        <v>0.88</v>
      </c>
      <c r="I33" s="21">
        <f t="shared" si="1"/>
        <v>0.042426406871192736</v>
      </c>
      <c r="J33" s="21">
        <f t="shared" si="2"/>
        <v>0.9025</v>
      </c>
      <c r="K33" s="20">
        <f t="shared" si="3"/>
        <v>0.03181980515339459</v>
      </c>
    </row>
    <row r="34" ht="15" customHeight="1">
      <c r="A34" s="18">
        <v>21</v>
      </c>
      <c r="B34" s="19">
        <v>0.65</v>
      </c>
      <c r="C34" s="19">
        <v>0.56</v>
      </c>
      <c r="D34" s="19">
        <f t="shared" si="0"/>
        <v>0.605</v>
      </c>
      <c r="E34" s="19">
        <f t="shared" si="1"/>
        <v>0.06363961030678926</v>
      </c>
      <c r="F34" s="17">
        <v>0.97</v>
      </c>
      <c r="G34" s="17">
        <v>0.67</v>
      </c>
      <c r="H34" s="20">
        <f t="shared" si="0"/>
        <v>0.8200000000000001</v>
      </c>
      <c r="I34" s="21">
        <f t="shared" si="1"/>
        <v>0.2121320343559641</v>
      </c>
      <c r="J34" s="21">
        <f t="shared" si="2"/>
        <v>0.7125</v>
      </c>
      <c r="K34" s="20">
        <f t="shared" si="3"/>
        <v>0.152027957955108</v>
      </c>
    </row>
    <row r="35" ht="15" customHeight="1">
      <c r="A35" s="18">
        <v>20</v>
      </c>
      <c r="B35" s="19">
        <v>1.34</v>
      </c>
      <c r="C35" s="19">
        <v>1.23</v>
      </c>
      <c r="D35" s="19">
        <f t="shared" si="0"/>
        <v>1.2850000000000001</v>
      </c>
      <c r="E35" s="19">
        <f t="shared" si="1"/>
        <v>0.0777817459305203</v>
      </c>
      <c r="F35" s="17">
        <v>0.75</v>
      </c>
      <c r="G35" s="17">
        <v>1.21</v>
      </c>
      <c r="H35" s="20">
        <f t="shared" si="0"/>
        <v>0.98</v>
      </c>
      <c r="I35" s="21">
        <f t="shared" si="1"/>
        <v>0.3252691193458124</v>
      </c>
      <c r="J35" s="21">
        <f t="shared" si="2"/>
        <v>1.1325</v>
      </c>
      <c r="K35" s="20">
        <f t="shared" si="3"/>
        <v>0.2156675682618969</v>
      </c>
    </row>
    <row r="36" ht="15" customHeight="1">
      <c r="A36" s="18">
        <v>19</v>
      </c>
      <c r="B36" s="19">
        <v>1.85</v>
      </c>
      <c r="C36" s="19">
        <v>1.77</v>
      </c>
      <c r="D36" s="19">
        <f t="shared" si="0"/>
        <v>1.81</v>
      </c>
      <c r="E36" s="19">
        <f t="shared" si="1"/>
        <v>0.05656854249492385</v>
      </c>
      <c r="F36" s="17">
        <v>1.51</v>
      </c>
      <c r="G36" s="17">
        <v>2.41</v>
      </c>
      <c r="H36" s="20">
        <f t="shared" si="0"/>
        <v>1.96</v>
      </c>
      <c r="I36" s="21">
        <f t="shared" si="1"/>
        <v>0.6363961030678936</v>
      </c>
      <c r="J36" s="21">
        <f t="shared" si="2"/>
        <v>1.885</v>
      </c>
      <c r="K36" s="20">
        <f t="shared" si="3"/>
        <v>0.10606601717798207</v>
      </c>
    </row>
    <row r="37" ht="15" customHeight="1">
      <c r="A37" s="18">
        <v>18</v>
      </c>
      <c r="B37" s="19">
        <v>2.8899999999999997</v>
      </c>
      <c r="C37" s="19">
        <v>2.6900000000000004</v>
      </c>
      <c r="D37" s="19">
        <f t="shared" si="0"/>
        <v>2.79</v>
      </c>
      <c r="E37" s="19">
        <f t="shared" si="1"/>
        <v>0.141421356237309</v>
      </c>
      <c r="F37" s="17">
        <v>0.37</v>
      </c>
      <c r="G37" s="17">
        <v>0.64</v>
      </c>
      <c r="H37" s="20">
        <f t="shared" si="0"/>
        <v>0.505</v>
      </c>
      <c r="I37" s="21">
        <f t="shared" si="1"/>
        <v>0.1909188309203678</v>
      </c>
      <c r="J37" s="21">
        <f t="shared" si="2"/>
        <v>1.6475</v>
      </c>
      <c r="K37" s="20">
        <f t="shared" si="3"/>
        <v>1.615738995011261</v>
      </c>
    </row>
    <row r="38" ht="15" customHeight="1">
      <c r="A38" s="18">
        <v>17</v>
      </c>
      <c r="B38" s="19">
        <v>1.73</v>
      </c>
      <c r="C38" s="19">
        <v>1.9100000000000001</v>
      </c>
      <c r="D38" s="19">
        <f t="shared" si="0"/>
        <v>1.82</v>
      </c>
      <c r="E38" s="19">
        <f t="shared" si="1"/>
        <v>0.1272792206135787</v>
      </c>
      <c r="F38" s="17">
        <v>1.59</v>
      </c>
      <c r="G38" s="17">
        <v>2.66</v>
      </c>
      <c r="H38" s="20">
        <f t="shared" si="0"/>
        <v>2.125</v>
      </c>
      <c r="I38" s="21">
        <f t="shared" si="1"/>
        <v>0.7566042558696058</v>
      </c>
      <c r="J38" s="21">
        <f t="shared" si="2"/>
        <v>1.9725000000000001</v>
      </c>
      <c r="K38" s="20">
        <f t="shared" si="3"/>
        <v>0.21566756826189695</v>
      </c>
    </row>
    <row r="39" ht="15" customHeight="1">
      <c r="A39" s="18">
        <v>16</v>
      </c>
      <c r="B39" s="19">
        <v>1.9700000000000002</v>
      </c>
      <c r="C39" s="19">
        <v>1.7199999999999998</v>
      </c>
      <c r="D39" s="19">
        <f t="shared" si="0"/>
        <v>1.845</v>
      </c>
      <c r="E39" s="19">
        <f t="shared" si="1"/>
        <v>0.1767766952966372</v>
      </c>
      <c r="F39" s="17">
        <v>1.34</v>
      </c>
      <c r="G39" s="17">
        <v>2.22</v>
      </c>
      <c r="H39" s="20">
        <f t="shared" si="0"/>
        <v>1.7800000000000002</v>
      </c>
      <c r="I39" s="21">
        <f t="shared" si="1"/>
        <v>0.6222539674441611</v>
      </c>
      <c r="J39" s="21">
        <f t="shared" si="2"/>
        <v>1.8125</v>
      </c>
      <c r="K39" s="20">
        <f t="shared" si="3"/>
        <v>0.04596194077712539</v>
      </c>
    </row>
    <row r="40" ht="15" customHeight="1">
      <c r="A40" s="18">
        <v>15</v>
      </c>
      <c r="B40" s="19">
        <v>1.59</v>
      </c>
      <c r="C40" s="19">
        <v>1.6300000000000001</v>
      </c>
      <c r="D40" s="19">
        <f t="shared" si="0"/>
        <v>1.61</v>
      </c>
      <c r="E40" s="19">
        <f t="shared" si="1"/>
        <v>0.028284271247461926</v>
      </c>
      <c r="F40" s="17">
        <v>0.98</v>
      </c>
      <c r="G40" s="17">
        <v>1.7599999999999998</v>
      </c>
      <c r="H40" s="20">
        <f t="shared" si="0"/>
        <v>1.3699999999999999</v>
      </c>
      <c r="I40" s="21">
        <f t="shared" si="1"/>
        <v>0.5515432893255073</v>
      </c>
      <c r="J40" s="21">
        <f t="shared" si="2"/>
        <v>1.49</v>
      </c>
      <c r="K40" s="20">
        <f t="shared" si="3"/>
        <v>0.16970562748477155</v>
      </c>
    </row>
    <row r="41" ht="15" customHeight="1">
      <c r="A41" s="18">
        <v>14</v>
      </c>
      <c r="B41" s="19">
        <v>1.32</v>
      </c>
      <c r="C41" s="19">
        <v>1.3</v>
      </c>
      <c r="D41" s="19">
        <f t="shared" si="0"/>
        <v>1.31</v>
      </c>
      <c r="E41" s="19">
        <f t="shared" si="1"/>
        <v>0.014142135623730963</v>
      </c>
      <c r="F41" s="17">
        <v>0.64</v>
      </c>
      <c r="G41" s="17">
        <v>1.05</v>
      </c>
      <c r="H41" s="20">
        <f t="shared" si="0"/>
        <v>0.845</v>
      </c>
      <c r="I41" s="21">
        <f t="shared" si="1"/>
        <v>0.2899137802864848</v>
      </c>
      <c r="J41" s="21">
        <f t="shared" si="2"/>
        <v>1.0775000000000001</v>
      </c>
      <c r="K41" s="20">
        <f t="shared" si="3"/>
        <v>0.32880465325174435</v>
      </c>
    </row>
    <row r="42" ht="15" customHeight="1">
      <c r="A42" s="18">
        <v>13</v>
      </c>
      <c r="B42" s="19">
        <v>1.53</v>
      </c>
      <c r="C42" s="19">
        <v>1.49</v>
      </c>
      <c r="D42" s="19">
        <f t="shared" si="0"/>
        <v>1.51</v>
      </c>
      <c r="E42" s="19">
        <f t="shared" si="1"/>
        <v>0.028284271247461926</v>
      </c>
      <c r="F42" s="17">
        <v>0.8400000000000001</v>
      </c>
      <c r="G42" s="17">
        <v>1.43</v>
      </c>
      <c r="H42" s="20">
        <f t="shared" si="0"/>
        <v>1.135</v>
      </c>
      <c r="I42" s="21">
        <f t="shared" si="1"/>
        <v>0.41719300090006284</v>
      </c>
      <c r="J42" s="21">
        <f t="shared" si="2"/>
        <v>1.3225</v>
      </c>
      <c r="K42" s="20">
        <f t="shared" si="3"/>
        <v>0.26516504294495447</v>
      </c>
    </row>
  </sheetData>
  <printOptions/>
  <pageMargins left="0.7" right="0.7" top="0.75" bottom="0.75" header="0.3" footer="0.3"/>
  <pageSetup paperSize="9" pageOrder="downThenOver" orientation="landscape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D3D5F18-8F2A-48C4-8DC4-C5991E4DA43D}" mc:Ignorable="x14ac xr xr2 xr3">
  <dimension ref="A1:D41"/>
  <sheetViews>
    <sheetView topLeftCell="A1" zoomScale="85" workbookViewId="0">
      <selection activeCell="A1" sqref="A1:D1"/>
    </sheetView>
  </sheetViews>
  <sheetFormatPr defaultRowHeight="15" defaultColWidth="9.140625" customHeight="1"/>
  <cols>
    <col min="1" max="1" style="12" width="24.140625" customWidth="1"/>
    <col min="2" max="2" style="12" width="39.00390625" customWidth="1"/>
    <col min="3" max="3" style="12" width="39.8515625" customWidth="1"/>
    <col min="4" max="4" style="12" width="19.57421875" customWidth="1"/>
  </cols>
  <sheetData>
    <row r="1" ht="15" customHeight="1">
      <c r="A1" s="13" t="s">
        <v>13</v>
      </c>
      <c r="B1" s="14" t="s">
        <v>30</v>
      </c>
      <c r="C1" s="14" t="s">
        <v>31</v>
      </c>
      <c r="D1" s="23" t="s">
        <v>7</v>
      </c>
    </row>
    <row r="2" ht="15" customHeight="1">
      <c r="A2" s="15">
        <v>1</v>
      </c>
      <c r="B2" s="16">
        <v>1.4448819535864814</v>
      </c>
      <c r="C2" s="16">
        <v>1.7723818150770903</v>
      </c>
      <c r="D2" s="16">
        <f t="shared" si="0" ref="D2:D41">_xlfn.STDEV.S(B2:C2)</f>
        <v>0.2315773728976623</v>
      </c>
    </row>
    <row r="3" ht="15" customHeight="1">
      <c r="A3" s="15">
        <v>2</v>
      </c>
      <c r="B3" s="16">
        <v>1.6</v>
      </c>
      <c r="C3" s="16">
        <v>1.6410784447280653</v>
      </c>
      <c r="D3" s="16">
        <f t="shared" si="0"/>
        <v>0.029046846827811695</v>
      </c>
    </row>
    <row r="4" ht="15" customHeight="1">
      <c r="A4" s="15">
        <v>3</v>
      </c>
      <c r="B4" s="16">
        <v>1.280285825591109</v>
      </c>
      <c r="C4" s="16">
        <v>1.1265350352372592</v>
      </c>
      <c r="D4" s="16">
        <f t="shared" si="0"/>
        <v>0.10871822647199839</v>
      </c>
    </row>
    <row r="5" ht="15" customHeight="1">
      <c r="A5" s="15">
        <v>4</v>
      </c>
      <c r="B5" s="16">
        <v>1.3177579365079364</v>
      </c>
      <c r="C5" s="16">
        <v>1.0733358068422212</v>
      </c>
      <c r="D5" s="16">
        <f t="shared" si="0"/>
        <v>0.1728325453586849</v>
      </c>
    </row>
    <row r="6" ht="15" customHeight="1">
      <c r="A6" s="15">
        <v>5</v>
      </c>
      <c r="B6" s="16">
        <v>0.6768130996440966</v>
      </c>
      <c r="C6" s="16">
        <v>1.163467261858148</v>
      </c>
      <c r="D6" s="16">
        <f t="shared" si="0"/>
        <v>0.34411645819421394</v>
      </c>
    </row>
    <row r="7" ht="15" customHeight="1">
      <c r="A7" s="15">
        <v>6</v>
      </c>
      <c r="B7" s="16">
        <v>1.0093931623931625</v>
      </c>
      <c r="C7" s="16">
        <v>1.1567161300200766</v>
      </c>
      <c r="D7" s="16">
        <f t="shared" si="0"/>
        <v>0.10417306943351717</v>
      </c>
    </row>
    <row r="8" ht="15" customHeight="1">
      <c r="A8" s="15">
        <v>7</v>
      </c>
      <c r="B8" s="16">
        <v>0.9322092115534739</v>
      </c>
      <c r="C8" s="16">
        <v>1.4316893121335592</v>
      </c>
      <c r="D8" s="16">
        <f t="shared" si="0"/>
        <v>0.3531857661879172</v>
      </c>
    </row>
    <row r="9" ht="15" customHeight="1">
      <c r="A9" s="15">
        <v>8</v>
      </c>
      <c r="B9" s="16">
        <v>0.839657477712189</v>
      </c>
      <c r="C9" s="16">
        <v>1.3240656825425794</v>
      </c>
      <c r="D9" s="16">
        <f t="shared" si="0"/>
        <v>0.34252832649797066</v>
      </c>
    </row>
    <row r="10" ht="15" customHeight="1">
      <c r="A10" s="15">
        <v>9</v>
      </c>
      <c r="B10" s="16">
        <v>1.389914825271347</v>
      </c>
      <c r="C10" s="16">
        <v>1.3642346790241078</v>
      </c>
      <c r="D10" s="16">
        <f t="shared" si="0"/>
        <v>0.01815860555328506</v>
      </c>
    </row>
    <row r="11" ht="15" customHeight="1">
      <c r="A11" s="15">
        <v>10</v>
      </c>
      <c r="B11" s="16">
        <v>1.1873914453279197</v>
      </c>
      <c r="C11" s="16">
        <v>1.6906980429444982</v>
      </c>
      <c r="D11" s="16">
        <f t="shared" si="0"/>
        <v>0.3558915081906111</v>
      </c>
    </row>
    <row r="12" ht="15" customHeight="1">
      <c r="A12" s="15">
        <v>11</v>
      </c>
      <c r="B12" s="16">
        <v>0.8179169865349807</v>
      </c>
      <c r="C12" s="16">
        <v>1.5582629265993428</v>
      </c>
      <c r="D12" s="16">
        <f t="shared" si="0"/>
        <v>0.5235036346434402</v>
      </c>
    </row>
    <row r="13" ht="15" customHeight="1">
      <c r="A13" s="15">
        <v>12</v>
      </c>
      <c r="B13" s="16">
        <v>0.7748669649678053</v>
      </c>
      <c r="C13" s="16">
        <v>1.234002273681714</v>
      </c>
      <c r="D13" s="16">
        <f t="shared" si="0"/>
        <v>0.32465769027378305</v>
      </c>
    </row>
    <row r="14" ht="15" customHeight="1">
      <c r="A14" s="15">
        <v>40</v>
      </c>
      <c r="B14" s="16">
        <v>1.6833080507826201</v>
      </c>
      <c r="C14" s="16">
        <v>1.1514043053485619</v>
      </c>
      <c r="D14" s="16">
        <f t="shared" si="0"/>
        <v>0.37611274533494593</v>
      </c>
    </row>
    <row r="15" ht="15" customHeight="1">
      <c r="A15" s="15">
        <v>39</v>
      </c>
      <c r="B15" s="16">
        <v>1.2362992466439102</v>
      </c>
      <c r="C15" s="16">
        <v>1.1617625791566162</v>
      </c>
      <c r="D15" s="16">
        <f t="shared" si="0"/>
        <v>0.05270538302731247</v>
      </c>
    </row>
    <row r="16" ht="15" customHeight="1">
      <c r="A16" s="15">
        <v>38</v>
      </c>
      <c r="B16" s="16">
        <v>1.5508528667326948</v>
      </c>
      <c r="C16" s="16">
        <v>1.4392184065595182</v>
      </c>
      <c r="D16" s="16">
        <f t="shared" si="0"/>
        <v>0.0789374838025528</v>
      </c>
    </row>
    <row r="17" ht="15" customHeight="1">
      <c r="A17" s="15">
        <v>37</v>
      </c>
      <c r="B17" s="16">
        <v>0.9999551503735142</v>
      </c>
      <c r="C17" s="16">
        <v>0.9347851818054089</v>
      </c>
      <c r="D17" s="16">
        <f t="shared" si="0"/>
        <v>0.04608212670422142</v>
      </c>
    </row>
    <row r="18" ht="15" customHeight="1">
      <c r="A18" s="15">
        <v>36</v>
      </c>
      <c r="B18" s="16">
        <v>1.3896367690877454</v>
      </c>
      <c r="C18" s="16">
        <v>1.3518345633335016</v>
      </c>
      <c r="D18" s="16">
        <f t="shared" si="0"/>
        <v>0.026730196032634886</v>
      </c>
    </row>
    <row r="19" ht="15" customHeight="1">
      <c r="A19" s="15">
        <v>35</v>
      </c>
      <c r="B19" s="16">
        <v>1.7129259309097442</v>
      </c>
      <c r="C19" s="16">
        <v>1.2651727824742602</v>
      </c>
      <c r="D19" s="16">
        <f t="shared" si="0"/>
        <v>0.3166092875563576</v>
      </c>
    </row>
    <row r="20" ht="15" customHeight="1">
      <c r="A20" s="15">
        <v>34</v>
      </c>
      <c r="B20" s="16">
        <v>1.3797013978136352</v>
      </c>
      <c r="C20" s="16">
        <v>1.9039060636080614</v>
      </c>
      <c r="D20" s="16">
        <f t="shared" si="0"/>
        <v>0.3706686739128675</v>
      </c>
    </row>
    <row r="21" ht="15" customHeight="1">
      <c r="A21" s="15">
        <v>33</v>
      </c>
      <c r="B21" s="16">
        <v>1.388447987492246</v>
      </c>
      <c r="C21" s="16">
        <v>1.679216414402838</v>
      </c>
      <c r="D21" s="16">
        <f t="shared" si="0"/>
        <v>0.2056043264234247</v>
      </c>
    </row>
    <row r="22" ht="15" customHeight="1">
      <c r="A22" s="15">
        <v>32</v>
      </c>
      <c r="B22" s="16">
        <v>1.4661090146169633</v>
      </c>
      <c r="C22" s="16">
        <v>1.8678369855702597</v>
      </c>
      <c r="D22" s="16">
        <f t="shared" si="0"/>
        <v>0.28406457245339073</v>
      </c>
    </row>
    <row r="23" ht="15" customHeight="1">
      <c r="A23" s="15">
        <v>31</v>
      </c>
      <c r="B23" s="16">
        <v>1.73241940132011</v>
      </c>
      <c r="C23" s="16">
        <v>1.8291698913084307</v>
      </c>
      <c r="D23" s="16">
        <f t="shared" si="0"/>
        <v>0.06841292755386275</v>
      </c>
    </row>
    <row r="24" ht="15" customHeight="1">
      <c r="A24" s="15">
        <v>30</v>
      </c>
      <c r="B24" s="16">
        <v>1.6054874198393638</v>
      </c>
      <c r="C24" s="16">
        <v>1.708277368953922</v>
      </c>
      <c r="D24" s="16">
        <f t="shared" si="0"/>
        <v>0.07268347005672417</v>
      </c>
    </row>
    <row r="25" ht="15" customHeight="1">
      <c r="A25" s="15">
        <v>29</v>
      </c>
      <c r="B25" s="16">
        <v>1.536945882034804</v>
      </c>
      <c r="C25" s="16">
        <v>1.8404327890297805</v>
      </c>
      <c r="D25" s="16">
        <f t="shared" si="0"/>
        <v>0.21459764993747887</v>
      </c>
    </row>
    <row r="26" ht="15" customHeight="1">
      <c r="A26" s="15">
        <v>28</v>
      </c>
      <c r="B26" s="16">
        <v>1.5363296993807924</v>
      </c>
      <c r="C26" s="16">
        <v>1.9811700573003614</v>
      </c>
      <c r="D26" s="16">
        <f t="shared" si="0"/>
        <v>0.3145496336303765</v>
      </c>
    </row>
    <row r="27" ht="15" customHeight="1" s="12" customFormat="1">
      <c r="A27" s="15">
        <v>27</v>
      </c>
      <c r="B27" s="16">
        <v>1.6027996552905057</v>
      </c>
      <c r="C27" s="16">
        <v>1.9580417825883392</v>
      </c>
      <c r="D27" s="16">
        <f t="shared" si="0"/>
        <v>0.2511941171754328</v>
      </c>
    </row>
    <row r="28" ht="15" customHeight="1">
      <c r="A28" s="15">
        <v>26</v>
      </c>
      <c r="B28" s="16">
        <v>1.2723620383368657</v>
      </c>
      <c r="C28" s="16">
        <v>1.7562510811694643</v>
      </c>
      <c r="D28" s="16">
        <f t="shared" si="0"/>
        <v>0.34216122352879696</v>
      </c>
    </row>
    <row r="29" ht="15" customHeight="1">
      <c r="A29" s="15">
        <v>25</v>
      </c>
      <c r="B29" s="16">
        <v>1.2846766253603934</v>
      </c>
      <c r="C29" s="16">
        <v>1.5107453832746836</v>
      </c>
      <c r="D29" s="16">
        <f t="shared" si="0"/>
        <v>0.15985475173561456</v>
      </c>
    </row>
    <row r="30" ht="15" customHeight="1">
      <c r="A30" s="15">
        <v>24</v>
      </c>
      <c r="B30" s="16">
        <v>1.8389713739125937</v>
      </c>
      <c r="C30" s="16">
        <v>1.8331107643802356</v>
      </c>
      <c r="D30" s="16">
        <f t="shared" si="0"/>
        <v>0.004144076742216947</v>
      </c>
    </row>
    <row r="31" ht="15" customHeight="1">
      <c r="A31" s="15">
        <v>23</v>
      </c>
      <c r="B31" s="16">
        <v>1.5469899951259614</v>
      </c>
      <c r="C31" s="16">
        <v>1.8560578469717788</v>
      </c>
      <c r="D31" s="16">
        <f t="shared" si="0"/>
        <v>0.2185439738869367</v>
      </c>
    </row>
    <row r="32" ht="15" customHeight="1">
      <c r="A32" s="15">
        <v>22</v>
      </c>
      <c r="B32" s="16">
        <v>1.3409257095205023</v>
      </c>
      <c r="C32" s="16">
        <v>1.803735210419873</v>
      </c>
      <c r="D32" s="16">
        <f t="shared" si="0"/>
        <v>0.3272557364835053</v>
      </c>
    </row>
    <row r="33" ht="15" customHeight="1">
      <c r="A33" s="15">
        <v>21</v>
      </c>
      <c r="B33" s="16">
        <v>1.6657136909468238</v>
      </c>
      <c r="C33" s="16">
        <v>1.6944462045162847</v>
      </c>
      <c r="D33" s="16">
        <f t="shared" si="0"/>
        <v>0.02031695518550032</v>
      </c>
    </row>
    <row r="34" ht="15" customHeight="1">
      <c r="A34" s="15">
        <v>20</v>
      </c>
      <c r="B34" s="16">
        <v>1.4682918363758741</v>
      </c>
      <c r="C34" s="16">
        <v>1.5771323174933372</v>
      </c>
      <c r="D34" s="16">
        <f t="shared" si="0"/>
        <v>0.07696184226576448</v>
      </c>
    </row>
    <row r="35" ht="15" customHeight="1">
      <c r="A35" s="15">
        <v>19</v>
      </c>
      <c r="B35" s="16">
        <v>1.2872739413074947</v>
      </c>
      <c r="C35" s="16">
        <v>1.237802134048845</v>
      </c>
      <c r="D35" s="16">
        <f t="shared" si="0"/>
        <v>0.0349818503901451</v>
      </c>
    </row>
    <row r="36" ht="15" customHeight="1">
      <c r="A36" s="15">
        <v>18</v>
      </c>
      <c r="B36" s="16">
        <v>1.1222596368466065</v>
      </c>
      <c r="C36" s="16">
        <v>1.61783581742202</v>
      </c>
      <c r="D36" s="16">
        <f t="shared" si="0"/>
        <v>0.350425277879404</v>
      </c>
    </row>
    <row r="37" ht="15" customHeight="1">
      <c r="A37" s="15">
        <v>17</v>
      </c>
      <c r="B37" s="16">
        <v>1.355146924172615</v>
      </c>
      <c r="C37" s="16">
        <v>1.3326254384829601</v>
      </c>
      <c r="D37" s="16">
        <f t="shared" si="0"/>
        <v>0.015925095253550806</v>
      </c>
    </row>
    <row r="38" ht="15" customHeight="1">
      <c r="A38" s="15">
        <v>16</v>
      </c>
      <c r="B38" s="16">
        <v>1.3342113438657643</v>
      </c>
      <c r="C38" s="16">
        <v>1.3737114335365865</v>
      </c>
      <c r="D38" s="16">
        <f t="shared" si="0"/>
        <v>0.027930781263715072</v>
      </c>
    </row>
    <row r="39" ht="15" customHeight="1">
      <c r="A39" s="15">
        <v>15</v>
      </c>
      <c r="B39" s="16">
        <v>1.2162543435846116</v>
      </c>
      <c r="C39" s="16">
        <v>1.6552333384422075</v>
      </c>
      <c r="D39" s="16">
        <f t="shared" si="0"/>
        <v>0.3104050240622597</v>
      </c>
    </row>
    <row r="40" ht="15" customHeight="1">
      <c r="A40" s="15">
        <v>14</v>
      </c>
      <c r="B40" s="16">
        <v>1.3280016858714947</v>
      </c>
      <c r="C40" s="16">
        <v>1.7258945945253497</v>
      </c>
      <c r="D40" s="16">
        <f t="shared" si="0"/>
        <v>0.2813527738951807</v>
      </c>
    </row>
    <row r="41" ht="15" customHeight="1">
      <c r="A41" s="15">
        <v>13</v>
      </c>
      <c r="B41" s="16">
        <v>1.2990680259497889</v>
      </c>
      <c r="C41" s="16">
        <v>1.631900092702218</v>
      </c>
      <c r="D41" s="16">
        <f t="shared" si="0"/>
        <v>0.23534781139697714</v>
      </c>
    </row>
  </sheetData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6FFF093-5652-4580-8442-36BC6263BD2D}" mc:Ignorable="x14ac xr xr2 xr3">
  <dimension ref="A1:I41"/>
  <sheetViews>
    <sheetView topLeftCell="A1" zoomScale="85" workbookViewId="0">
      <selection activeCell="I25" sqref="I25"/>
    </sheetView>
  </sheetViews>
  <sheetFormatPr defaultRowHeight="15" defaultColWidth="9.140625" customHeight="1"/>
  <cols>
    <col min="1" max="2" style="12" width="24.140625" customWidth="1"/>
    <col min="3" max="3" style="12" width="42.421875" customWidth="1"/>
    <col min="4" max="4" style="12" width="28.421875" customWidth="1"/>
    <col min="5" max="5" style="12" width="45.28125" customWidth="1"/>
    <col min="6" max="6" style="12" width="28.00390625" customWidth="1"/>
    <col min="7" max="7" style="12" width="39.421875" customWidth="1"/>
    <col min="8" max="8" style="12" width="18.8515625" customWidth="1"/>
    <col min="9" max="9" style="12" width="46.421875" customWidth="1"/>
  </cols>
  <sheetData>
    <row r="1" ht="30" customHeight="1">
      <c r="A1" s="24" t="s">
        <v>13</v>
      </c>
      <c r="B1" s="23" t="s">
        <v>32</v>
      </c>
      <c r="C1" s="23" t="s">
        <v>33</v>
      </c>
      <c r="D1" s="23" t="s">
        <v>7</v>
      </c>
      <c r="E1" s="23" t="s">
        <v>34</v>
      </c>
      <c r="F1" s="23" t="s">
        <v>32</v>
      </c>
      <c r="G1" s="23" t="s">
        <v>35</v>
      </c>
      <c r="H1" s="23" t="s">
        <v>7</v>
      </c>
      <c r="I1" s="23" t="s">
        <v>36</v>
      </c>
    </row>
    <row r="2" ht="15" customHeight="1">
      <c r="A2" s="15">
        <v>1</v>
      </c>
      <c r="B2" s="25">
        <v>42149.697916666664</v>
      </c>
      <c r="C2" s="26">
        <v>23.55121938695865</v>
      </c>
      <c r="D2" s="26">
        <v>2.221904722080579</v>
      </c>
      <c r="E2" s="26">
        <v>0.37885242441733313</v>
      </c>
      <c r="F2" s="25">
        <v>42264.78472222222</v>
      </c>
      <c r="G2" s="26">
        <v>22.2</v>
      </c>
      <c r="H2" s="26">
        <v>0.1389695854166294</v>
      </c>
      <c r="I2" s="26">
        <v>0.35704720527717515</v>
      </c>
    </row>
    <row r="3" ht="15" customHeight="1">
      <c r="A3" s="15">
        <v>2</v>
      </c>
      <c r="B3" s="25">
        <v>42149.75</v>
      </c>
      <c r="C3" s="26">
        <v>17.97885483953323</v>
      </c>
      <c r="D3" s="26">
        <v>0.8646793826106522</v>
      </c>
      <c r="E3" s="26">
        <v>0.29135439376587857</v>
      </c>
      <c r="F3" s="25">
        <v>42264.74444444444</v>
      </c>
      <c r="G3" s="26">
        <v>17.99</v>
      </c>
      <c r="H3" s="26">
        <v>0.06677866533827342</v>
      </c>
      <c r="I3" s="26">
        <v>0.2914877544206438</v>
      </c>
    </row>
    <row r="4" ht="15" customHeight="1">
      <c r="A4" s="15">
        <v>3</v>
      </c>
      <c r="B4" s="25">
        <v>42149.791666666664</v>
      </c>
      <c r="C4" s="26">
        <v>45.519752102506004</v>
      </c>
      <c r="D4" s="26">
        <v>9.029450987991057</v>
      </c>
      <c r="E4" s="26">
        <v>0.5477894446700796</v>
      </c>
      <c r="F4" s="25">
        <v>42264.711805555555</v>
      </c>
      <c r="G4" s="26">
        <v>43.12</v>
      </c>
      <c r="H4" s="26">
        <v>1.2692511802127793</v>
      </c>
      <c r="I4" s="26">
        <v>0.5189289548752791</v>
      </c>
    </row>
    <row r="5" ht="15" customHeight="1">
      <c r="A5" s="15">
        <v>4</v>
      </c>
      <c r="B5" s="25">
        <v>42149.82638888889</v>
      </c>
      <c r="C5" s="26">
        <v>28.769841269841276</v>
      </c>
      <c r="D5" s="26">
        <v>12.232589398252673</v>
      </c>
      <c r="E5" s="26">
        <v>0.3439569376480348</v>
      </c>
      <c r="F5" s="25">
        <v>42264.677083333336</v>
      </c>
      <c r="G5" s="26">
        <v>23.71</v>
      </c>
      <c r="H5" s="26">
        <v>0.4751456636848711</v>
      </c>
      <c r="I5" s="26">
        <v>0.28351896355611816</v>
      </c>
    </row>
    <row r="6" ht="15" customHeight="1">
      <c r="A6" s="15">
        <v>5</v>
      </c>
      <c r="B6" s="25">
        <v>42149.854166666664</v>
      </c>
      <c r="C6" s="26">
        <v>34.289990325815864</v>
      </c>
      <c r="D6" s="26">
        <v>21.62624357424776</v>
      </c>
      <c r="E6" s="26">
        <v>0.3155159787259623</v>
      </c>
      <c r="F6" s="25">
        <v>42264.625</v>
      </c>
      <c r="G6" s="26">
        <v>21.07</v>
      </c>
      <c r="H6" s="26">
        <v>0.826543000494019</v>
      </c>
      <c r="I6" s="26">
        <v>0.19384915144933137</v>
      </c>
    </row>
    <row r="7" ht="15" customHeight="1">
      <c r="A7" s="15">
        <v>6</v>
      </c>
      <c r="B7" s="25">
        <v>42149.881944444445</v>
      </c>
      <c r="C7" s="26">
        <v>25.77991452991453</v>
      </c>
      <c r="D7" s="26">
        <v>15.56307859668294</v>
      </c>
      <c r="E7" s="26">
        <v>0.27921056178034404</v>
      </c>
      <c r="F7" s="25">
        <v>42264.57638888889</v>
      </c>
      <c r="G7" s="26">
        <v>21.97</v>
      </c>
      <c r="H7" s="26">
        <v>1.95340395928636</v>
      </c>
      <c r="I7" s="26">
        <v>0.2379475368273435</v>
      </c>
    </row>
    <row r="8" ht="15" customHeight="1">
      <c r="A8" s="15">
        <v>7</v>
      </c>
      <c r="B8" s="25">
        <v>42150.36111111111</v>
      </c>
      <c r="C8" s="26">
        <v>22.31589903721051</v>
      </c>
      <c r="D8" s="26">
        <v>7.967121226216815</v>
      </c>
      <c r="E8" s="26">
        <v>0.2637626035042447</v>
      </c>
      <c r="F8" s="25">
        <v>42265.645833333336</v>
      </c>
      <c r="G8" s="26">
        <v>12.18</v>
      </c>
      <c r="H8" s="26">
        <v>0.22774238341839034</v>
      </c>
      <c r="I8" s="26">
        <v>0.14392685635027622</v>
      </c>
    </row>
    <row r="9" ht="15" customHeight="1">
      <c r="A9" s="15">
        <v>8</v>
      </c>
      <c r="B9" s="25">
        <v>42150.385416666664</v>
      </c>
      <c r="C9" s="26">
        <v>34.40175955373524</v>
      </c>
      <c r="D9" s="26">
        <v>16.39900292943356</v>
      </c>
      <c r="E9" s="26">
        <v>0.3721794200001841</v>
      </c>
      <c r="F9" s="25">
        <v>42265.67291666667</v>
      </c>
      <c r="G9" s="26">
        <v>21</v>
      </c>
      <c r="H9" s="26">
        <v>0.05609183477324648</v>
      </c>
      <c r="I9" s="26">
        <v>0.22717435337989683</v>
      </c>
    </row>
    <row r="10" ht="15" customHeight="1">
      <c r="A10" s="15">
        <v>9</v>
      </c>
      <c r="B10" s="25">
        <v>42150.416666666664</v>
      </c>
      <c r="C10" s="26">
        <v>27.983687809774764</v>
      </c>
      <c r="D10" s="26">
        <v>17.044578133119543</v>
      </c>
      <c r="E10" s="26">
        <v>0.38535629941364385</v>
      </c>
      <c r="F10" s="25">
        <v>42265.71111111111</v>
      </c>
      <c r="G10" s="26">
        <v>17.96</v>
      </c>
      <c r="H10" s="26">
        <v>1.1201311452163976</v>
      </c>
      <c r="I10" s="26">
        <v>0.24726170645284634</v>
      </c>
    </row>
    <row r="11" ht="15" customHeight="1">
      <c r="A11" s="15">
        <v>10</v>
      </c>
      <c r="B11" s="25">
        <v>42150.444444444445</v>
      </c>
      <c r="C11" s="26">
        <v>21.364804945170878</v>
      </c>
      <c r="D11" s="26">
        <v>1.4795966603920736</v>
      </c>
      <c r="E11" s="26">
        <v>0.30744910200840525</v>
      </c>
      <c r="F11" s="25">
        <v>42265.73819444444</v>
      </c>
      <c r="G11" s="26">
        <v>7.51</v>
      </c>
      <c r="H11" s="26">
        <v>0.477498539288544</v>
      </c>
      <c r="I11" s="26">
        <v>0.10808734147354784</v>
      </c>
    </row>
    <row r="12" ht="15" customHeight="1">
      <c r="A12" s="15">
        <v>11</v>
      </c>
      <c r="B12" s="25">
        <v>42150.47222222222</v>
      </c>
      <c r="C12" s="26">
        <v>24.961744354588927</v>
      </c>
      <c r="D12" s="26">
        <v>0.38528515807110764</v>
      </c>
      <c r="E12" s="26">
        <v>0.2965679782003659</v>
      </c>
      <c r="F12" s="25">
        <v>42265.76527777778</v>
      </c>
      <c r="G12" s="26">
        <v>15.03</v>
      </c>
      <c r="H12" s="26">
        <v>1.6340988128902387</v>
      </c>
      <c r="I12" s="26">
        <v>0.17862619791710707</v>
      </c>
    </row>
    <row r="13" ht="15" customHeight="1">
      <c r="A13" s="15">
        <v>12</v>
      </c>
      <c r="B13" s="25">
        <v>42150.506944444445</v>
      </c>
      <c r="C13" s="26">
        <v>28.253058799277294</v>
      </c>
      <c r="D13" s="26">
        <v>13.605626279812915</v>
      </c>
      <c r="E13" s="26">
        <v>0.28378350360538057</v>
      </c>
      <c r="F13" s="25">
        <v>42265.82083333333</v>
      </c>
      <c r="G13" s="26">
        <v>16.26</v>
      </c>
      <c r="H13" s="26">
        <v>0.34991347466096145</v>
      </c>
      <c r="I13" s="26">
        <v>0.16331450210866477</v>
      </c>
    </row>
    <row r="14" ht="15" customHeight="1">
      <c r="A14" s="15">
        <v>40</v>
      </c>
      <c r="B14" s="25">
        <v>42153.833333333336</v>
      </c>
      <c r="C14" s="26">
        <v>12.32770568840521</v>
      </c>
      <c r="D14" s="26">
        <v>0.08675120127686148</v>
      </c>
      <c r="E14" s="26">
        <v>0.174727498352694</v>
      </c>
      <c r="F14" s="25">
        <v>42272.63888888889</v>
      </c>
      <c r="G14" s="26">
        <v>8.01</v>
      </c>
      <c r="H14" s="26">
        <v>0.34353530167766544</v>
      </c>
      <c r="I14" s="26">
        <v>0.11346515337149413</v>
      </c>
    </row>
    <row r="15" ht="15" customHeight="1">
      <c r="A15" s="15">
        <v>39</v>
      </c>
      <c r="B15" s="25">
        <v>42153.805555555555</v>
      </c>
      <c r="C15" s="26">
        <v>22.731297084755607</v>
      </c>
      <c r="D15" s="26">
        <v>1.0181579664339622</v>
      </c>
      <c r="E15" s="26">
        <v>0.27255527913220107</v>
      </c>
      <c r="F15" s="25">
        <v>42272.60763888889</v>
      </c>
      <c r="G15" s="26">
        <v>23.13</v>
      </c>
      <c r="H15" s="26">
        <v>5.000279453286574</v>
      </c>
      <c r="I15" s="26">
        <v>0.27737599250976386</v>
      </c>
    </row>
    <row r="16" ht="15" customHeight="1">
      <c r="A16" s="15">
        <v>38</v>
      </c>
      <c r="B16" s="25">
        <v>42153.76736111111</v>
      </c>
      <c r="C16" s="26">
        <v>13.841507403739167</v>
      </c>
      <c r="D16" s="26">
        <v>3.3980982827762447</v>
      </c>
      <c r="E16" s="26">
        <v>0.20693546827900797</v>
      </c>
      <c r="F16" s="25">
        <v>42272.569444444445</v>
      </c>
      <c r="G16" s="26">
        <v>9.82</v>
      </c>
      <c r="H16" s="26">
        <v>0.06043216296380741</v>
      </c>
      <c r="I16" s="26">
        <v>0.1468634518281802</v>
      </c>
    </row>
    <row r="17" ht="15" customHeight="1">
      <c r="A17" s="15">
        <v>37</v>
      </c>
      <c r="B17" s="25">
        <v>42153.72222222222</v>
      </c>
      <c r="C17" s="26">
        <v>25.376481315409382</v>
      </c>
      <c r="D17" s="26">
        <v>1.3093173421846198</v>
      </c>
      <c r="E17" s="26">
        <v>0.24548450929947113</v>
      </c>
      <c r="F17" s="25">
        <v>42272.493055555555</v>
      </c>
      <c r="G17" s="26">
        <v>13.46</v>
      </c>
      <c r="H17" s="26">
        <v>6.759330272247738</v>
      </c>
      <c r="I17" s="26">
        <v>0.13022584428147105</v>
      </c>
    </row>
    <row r="18" ht="15" customHeight="1">
      <c r="A18" s="15">
        <v>36</v>
      </c>
      <c r="B18" s="25">
        <v>42153.68402777778</v>
      </c>
      <c r="C18" s="26">
        <v>13.147701932015915</v>
      </c>
      <c r="D18" s="26">
        <v>1.0319198136347234</v>
      </c>
      <c r="E18" s="26">
        <v>0.1802202392303518</v>
      </c>
      <c r="F18" s="25">
        <v>42272.447916666664</v>
      </c>
      <c r="G18" s="26">
        <v>12.62</v>
      </c>
      <c r="H18" s="26">
        <v>0.6707669334333562</v>
      </c>
      <c r="I18" s="26">
        <v>0.17292839290697345</v>
      </c>
    </row>
    <row r="19" ht="15" customHeight="1">
      <c r="A19" s="15">
        <v>35</v>
      </c>
      <c r="B19" s="25">
        <v>42153.583333333336</v>
      </c>
      <c r="C19" s="26">
        <v>14.353703454512777</v>
      </c>
      <c r="D19" s="26">
        <v>1.3500637568148708</v>
      </c>
      <c r="E19" s="26">
        <v>0.21373372962822743</v>
      </c>
      <c r="F19" s="25">
        <v>42271.775</v>
      </c>
      <c r="G19" s="26">
        <v>18.99</v>
      </c>
      <c r="H19" s="26">
        <v>0.504588374387039</v>
      </c>
      <c r="I19" s="26">
        <v>0.2828099415780597</v>
      </c>
    </row>
    <row r="20" ht="15" customHeight="1">
      <c r="A20" s="15">
        <v>34</v>
      </c>
      <c r="B20" s="25">
        <v>42153.552083333336</v>
      </c>
      <c r="C20" s="26">
        <v>10.409000141971735</v>
      </c>
      <c r="D20" s="26">
        <v>2.6640769009614917</v>
      </c>
      <c r="E20" s="26">
        <v>0.1708953519714959</v>
      </c>
      <c r="F20" s="25">
        <v>42271.743055555555</v>
      </c>
      <c r="G20" s="26">
        <v>10.49</v>
      </c>
      <c r="H20" s="26">
        <v>0.5093678824316782</v>
      </c>
      <c r="I20" s="26">
        <v>0.17220331789881896</v>
      </c>
    </row>
    <row r="21" ht="15" customHeight="1">
      <c r="A21" s="15">
        <v>33</v>
      </c>
      <c r="B21" s="25">
        <v>42153.493055555555</v>
      </c>
      <c r="C21" s="26">
        <v>9.841039773230788</v>
      </c>
      <c r="D21" s="26">
        <v>0.6945299173874615</v>
      </c>
      <c r="E21" s="26">
        <v>0.15094503736046358</v>
      </c>
      <c r="F21" s="25">
        <v>42271.71527777778</v>
      </c>
      <c r="G21" s="26">
        <v>10.5</v>
      </c>
      <c r="H21" s="26">
        <v>0.6845197654658844</v>
      </c>
      <c r="I21" s="26">
        <v>0.16103814406900271</v>
      </c>
    </row>
    <row r="22" ht="15" customHeight="1">
      <c r="A22" s="15">
        <v>32</v>
      </c>
      <c r="B22" s="25">
        <v>42153.458333333336</v>
      </c>
      <c r="C22" s="26">
        <v>6.018652909169016</v>
      </c>
      <c r="D22" s="26">
        <v>0.7656961569880724</v>
      </c>
      <c r="E22" s="26">
        <v>0.10032931881235115</v>
      </c>
      <c r="F22" s="25">
        <v>42271.68194444444</v>
      </c>
      <c r="G22" s="26">
        <v>6.28</v>
      </c>
      <c r="H22" s="26">
        <v>0.9215437026083451</v>
      </c>
      <c r="I22" s="26">
        <v>0.10468809147445492</v>
      </c>
    </row>
    <row r="23" ht="15" customHeight="1">
      <c r="A23" s="15">
        <v>31</v>
      </c>
      <c r="B23" s="25">
        <v>42153.42361111111</v>
      </c>
      <c r="C23" s="26">
        <v>3.754477704438333</v>
      </c>
      <c r="D23" s="26">
        <v>0.1038344325151096</v>
      </c>
      <c r="E23" s="26">
        <v>0.06685953787866315</v>
      </c>
      <c r="F23" s="25">
        <v>42271.645833333336</v>
      </c>
      <c r="G23" s="26">
        <v>5.26</v>
      </c>
      <c r="H23" s="26">
        <v>0.04755807530946671</v>
      </c>
      <c r="I23" s="26">
        <v>0.0937343860371578</v>
      </c>
    </row>
    <row r="24" ht="15" customHeight="1">
      <c r="A24" s="15">
        <v>30</v>
      </c>
      <c r="B24" s="25">
        <v>42153.395833333336</v>
      </c>
      <c r="C24" s="26">
        <v>5.559563538860949</v>
      </c>
      <c r="D24" s="26">
        <v>0.6183982079019921</v>
      </c>
      <c r="E24" s="26">
        <v>0.0921154288368018</v>
      </c>
      <c r="F24" s="25">
        <v>42271.61111111111</v>
      </c>
      <c r="G24" s="26">
        <v>9.68</v>
      </c>
      <c r="H24" s="26">
        <v>3.5860186692299294</v>
      </c>
      <c r="I24" s="26">
        <v>0.1604169741423646</v>
      </c>
    </row>
    <row r="25" ht="15" customHeight="1">
      <c r="A25" s="15">
        <v>29</v>
      </c>
      <c r="B25" s="25">
        <v>42153.364583333336</v>
      </c>
      <c r="C25" s="26">
        <v>3.940882372824735</v>
      </c>
      <c r="D25" s="26">
        <v>0.09881456453111914</v>
      </c>
      <c r="E25" s="26">
        <v>0.06654926081466905</v>
      </c>
      <c r="F25" s="25">
        <v>42271.57986111111</v>
      </c>
      <c r="G25" s="26">
        <v>3.24</v>
      </c>
      <c r="H25" s="26">
        <v>0.2382962448085295</v>
      </c>
      <c r="I25" s="26">
        <v>0.05466240433554502</v>
      </c>
    </row>
    <row r="26" ht="15" customHeight="1">
      <c r="A26" s="15">
        <v>28</v>
      </c>
      <c r="B26" s="25">
        <v>42152.895833333336</v>
      </c>
      <c r="C26" s="26">
        <v>3.9793937887004778</v>
      </c>
      <c r="D26" s="26">
        <v>0.44724412185503376</v>
      </c>
      <c r="E26" s="26">
        <v>0.06998758361619246</v>
      </c>
      <c r="F26" s="25">
        <v>42271.52777777778</v>
      </c>
      <c r="G26" s="26">
        <v>2.69</v>
      </c>
      <c r="H26" s="26">
        <v>0.5428810326277604</v>
      </c>
      <c r="I26" s="26">
        <v>0.047363533459934125</v>
      </c>
    </row>
    <row r="27" ht="15" customHeight="1" s="12" customFormat="1">
      <c r="A27" s="15">
        <v>27</v>
      </c>
      <c r="B27" s="25">
        <v>42152.875</v>
      </c>
      <c r="C27" s="26">
        <v>3.4458038981623047</v>
      </c>
      <c r="D27" s="26">
        <v>1.0887336392227185</v>
      </c>
      <c r="E27" s="26">
        <v>0.06134980656962267</v>
      </c>
      <c r="F27" s="25">
        <v>42271.50347222222</v>
      </c>
      <c r="G27" s="26">
        <v>5.04</v>
      </c>
      <c r="H27" s="26">
        <v>4.520971569722889</v>
      </c>
      <c r="I27" s="26">
        <v>0.08976205773271803</v>
      </c>
    </row>
    <row r="28" ht="15" customHeight="1">
      <c r="A28" s="15">
        <v>26</v>
      </c>
      <c r="B28" s="25">
        <v>42152.84027777778</v>
      </c>
      <c r="C28" s="26">
        <v>9.116997261652457</v>
      </c>
      <c r="D28" s="26">
        <v>1.7786877961186605</v>
      </c>
      <c r="E28" s="26">
        <v>0.13805928816641894</v>
      </c>
      <c r="F28" s="25">
        <v>42271.46875</v>
      </c>
      <c r="G28" s="26">
        <v>5.68</v>
      </c>
      <c r="H28" s="26">
        <v>1.5456866417080304</v>
      </c>
      <c r="I28" s="26">
        <v>0.0860022986520013</v>
      </c>
    </row>
    <row r="29" ht="15" customHeight="1">
      <c r="A29" s="15">
        <v>25</v>
      </c>
      <c r="B29" s="25">
        <v>42152.791666666664</v>
      </c>
      <c r="C29" s="26">
        <v>8.237383902829036</v>
      </c>
      <c r="D29" s="26">
        <v>0.273679569255003</v>
      </c>
      <c r="E29" s="26">
        <v>0.11513482123818122</v>
      </c>
      <c r="F29" s="25">
        <v>42270.881944444445</v>
      </c>
      <c r="G29" s="26">
        <v>11.45</v>
      </c>
      <c r="H29" s="26">
        <v>2.931947737615562</v>
      </c>
      <c r="I29" s="26">
        <v>0.15997041452995966</v>
      </c>
    </row>
    <row r="30" ht="15" customHeight="1">
      <c r="A30" s="15">
        <v>24</v>
      </c>
      <c r="B30" s="25">
        <v>42152.756944444445</v>
      </c>
      <c r="C30" s="26">
        <v>3.2120329519687467</v>
      </c>
      <c r="D30" s="26">
        <v>1.224650716087872</v>
      </c>
      <c r="E30" s="26">
        <v>0.05897424503453566</v>
      </c>
      <c r="F30" s="25">
        <v>42270.84722222222</v>
      </c>
      <c r="G30" s="26">
        <v>4.53</v>
      </c>
      <c r="H30" s="26">
        <v>0.3508152558864138</v>
      </c>
      <c r="I30" s="26">
        <v>0.08308968973641785</v>
      </c>
    </row>
    <row r="31" ht="15" customHeight="1">
      <c r="A31" s="15">
        <v>23</v>
      </c>
      <c r="B31" s="25">
        <v>42152.72222222222</v>
      </c>
      <c r="C31" s="26">
        <v>3.3131253046274183</v>
      </c>
      <c r="D31" s="26">
        <v>0.41294626448415145</v>
      </c>
      <c r="E31" s="26">
        <v>0.05637361951382214</v>
      </c>
      <c r="F31" s="25">
        <v>42270.808333333334</v>
      </c>
      <c r="G31" s="26">
        <v>4.62</v>
      </c>
      <c r="H31" s="26">
        <v>0.46388407873265874</v>
      </c>
      <c r="I31" s="26">
        <v>0.07864271539019459</v>
      </c>
    </row>
    <row r="32" ht="15" customHeight="1">
      <c r="A32" s="15">
        <v>22</v>
      </c>
      <c r="B32" s="25">
        <v>42152.680555555555</v>
      </c>
      <c r="C32" s="26">
        <v>4.219592177106988</v>
      </c>
      <c r="D32" s="26">
        <v>0.9144523329937533</v>
      </c>
      <c r="E32" s="26">
        <v>0.06634593344712617</v>
      </c>
      <c r="F32" s="25">
        <v>42270.75555555556</v>
      </c>
      <c r="G32" s="26">
        <v>4.46</v>
      </c>
      <c r="H32" s="26">
        <v>0.17631505034442413</v>
      </c>
      <c r="I32" s="26">
        <v>0.07017589774270547</v>
      </c>
    </row>
    <row r="33" ht="15" customHeight="1">
      <c r="A33" s="15">
        <v>21</v>
      </c>
      <c r="B33" s="25">
        <v>42152.645833333336</v>
      </c>
      <c r="C33" s="26">
        <v>2.016841709010368</v>
      </c>
      <c r="D33" s="26">
        <v>0.18737206804243167</v>
      </c>
      <c r="E33" s="26">
        <v>0.033884552979188194</v>
      </c>
      <c r="F33" s="25">
        <v>42270.72222222222</v>
      </c>
      <c r="G33" s="26">
        <v>7.1</v>
      </c>
      <c r="H33" s="26">
        <v>0.14916139290809624</v>
      </c>
      <c r="I33" s="26">
        <v>0.11933154247151342</v>
      </c>
    </row>
    <row r="34" ht="15" customHeight="1">
      <c r="A34" s="15">
        <v>20</v>
      </c>
      <c r="B34" s="25">
        <v>42152.625</v>
      </c>
      <c r="C34" s="26">
        <v>13.629891977889777</v>
      </c>
      <c r="D34" s="26">
        <v>0.35032581888371506</v>
      </c>
      <c r="E34" s="26">
        <v>0.20754401155714364</v>
      </c>
      <c r="F34" s="25">
        <v>42270.68402777778</v>
      </c>
      <c r="G34" s="26">
        <v>9.46</v>
      </c>
      <c r="H34" s="26">
        <v>0.343976200212395</v>
      </c>
      <c r="I34" s="26">
        <v>0.14411366907828718</v>
      </c>
    </row>
    <row r="35" ht="15" customHeight="1">
      <c r="A35" s="15">
        <v>19</v>
      </c>
      <c r="B35" s="25">
        <v>42152.583333333336</v>
      </c>
      <c r="C35" s="26">
        <v>14.181737246167026</v>
      </c>
      <c r="D35" s="26">
        <v>4.148678899837826</v>
      </c>
      <c r="E35" s="26">
        <v>0.17904982655355503</v>
      </c>
      <c r="F35" s="25">
        <v>42270.64861111111</v>
      </c>
      <c r="G35" s="26">
        <v>14.52</v>
      </c>
      <c r="H35" s="26">
        <v>3.241887405689319</v>
      </c>
      <c r="I35" s="26">
        <v>0.1832754151118601</v>
      </c>
    </row>
    <row r="36" ht="15" customHeight="1">
      <c r="A36" s="15">
        <v>18</v>
      </c>
      <c r="B36" s="25">
        <v>42152.5</v>
      </c>
      <c r="C36" s="26">
        <v>3.253479582189113</v>
      </c>
      <c r="D36" s="26">
        <v>2.818499005771915</v>
      </c>
      <c r="E36" s="26">
        <v>0.04457422331257854</v>
      </c>
      <c r="F36" s="25">
        <v>42270.57361111111</v>
      </c>
      <c r="G36" s="26">
        <v>9.01</v>
      </c>
      <c r="H36" s="26">
        <v>0.3039363694305982</v>
      </c>
      <c r="I36" s="26">
        <v>0.1234153967224247</v>
      </c>
    </row>
    <row r="37" ht="15" customHeight="1">
      <c r="A37" s="15">
        <v>17</v>
      </c>
      <c r="B37" s="25">
        <v>42152.46527777778</v>
      </c>
      <c r="C37" s="26">
        <v>9.65687172182567</v>
      </c>
      <c r="D37" s="26">
        <v>0.3028351293993117</v>
      </c>
      <c r="E37" s="26">
        <v>0.1297773643248538</v>
      </c>
      <c r="F37" s="25">
        <v>42270.53888888889</v>
      </c>
      <c r="G37" s="26">
        <v>13.47</v>
      </c>
      <c r="H37" s="26">
        <v>5.741852857318168</v>
      </c>
      <c r="I37" s="26">
        <v>0.18096610857749937</v>
      </c>
    </row>
    <row r="38" ht="15" customHeight="1">
      <c r="A38" s="15">
        <v>16</v>
      </c>
      <c r="B38" s="25">
        <v>42152.4375</v>
      </c>
      <c r="C38" s="26">
        <v>11.052577075615716</v>
      </c>
      <c r="D38" s="26">
        <v>0.756824913557996</v>
      </c>
      <c r="E38" s="26">
        <v>0.14964762639042808</v>
      </c>
      <c r="F38" s="25">
        <v>42270.51388888889</v>
      </c>
      <c r="G38" s="26">
        <v>17.25</v>
      </c>
      <c r="H38" s="26">
        <v>5.910081407630062</v>
      </c>
      <c r="I38" s="26">
        <v>0.23350823214787972</v>
      </c>
    </row>
    <row r="39" ht="15" customHeight="1">
      <c r="A39" s="15">
        <v>15</v>
      </c>
      <c r="B39" s="25">
        <v>42152.40625</v>
      </c>
      <c r="C39" s="26">
        <v>6.441973570414491</v>
      </c>
      <c r="D39" s="26">
        <v>0.3313280458123778</v>
      </c>
      <c r="E39" s="26">
        <v>0.09249023920170983</v>
      </c>
      <c r="F39" s="25">
        <v>42270.479166666664</v>
      </c>
      <c r="G39" s="26">
        <v>6.27</v>
      </c>
      <c r="H39" s="26">
        <v>0.2912693556745947</v>
      </c>
      <c r="I39" s="26">
        <v>0.09005240789665422</v>
      </c>
    </row>
    <row r="40" ht="15" customHeight="1">
      <c r="A40" s="15">
        <v>14</v>
      </c>
      <c r="B40" s="25">
        <v>42152.381944444445</v>
      </c>
      <c r="C40" s="26">
        <v>5.142736723464682</v>
      </c>
      <c r="D40" s="26">
        <v>0.1994096049356673</v>
      </c>
      <c r="E40" s="26">
        <v>0.07852692239595171</v>
      </c>
      <c r="F40" s="25">
        <v>42270.447222222225</v>
      </c>
      <c r="G40" s="26">
        <v>5.59</v>
      </c>
      <c r="H40" s="26">
        <v>0.21477958569299585</v>
      </c>
      <c r="I40" s="26">
        <v>0.085289748223824</v>
      </c>
    </row>
    <row r="41" ht="15" customHeight="1">
      <c r="A41" s="15">
        <v>13</v>
      </c>
      <c r="B41" s="25">
        <v>42152.32638888889</v>
      </c>
      <c r="C41" s="26">
        <v>7.2094267178722236</v>
      </c>
      <c r="D41" s="26">
        <v>1.017418459212901</v>
      </c>
      <c r="E41" s="26">
        <v>0.10565299905729274</v>
      </c>
      <c r="F41" s="25">
        <v>42270.416666666664</v>
      </c>
      <c r="G41" s="26">
        <v>10.92</v>
      </c>
      <c r="H41" s="26">
        <v>1.1495757789026382</v>
      </c>
      <c r="I41" s="26">
        <v>0.16006726190243323</v>
      </c>
    </row>
  </sheetData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794F996-F30C-41B8-AC23-AA64814D53D5}" mc:Ignorable="x14ac xr xr2 xr3">
  <dimension ref="A1:I41"/>
  <sheetViews>
    <sheetView topLeftCell="A1" zoomScale="70" workbookViewId="0">
      <selection activeCell="G22" sqref="G22"/>
    </sheetView>
  </sheetViews>
  <sheetFormatPr defaultRowHeight="15" defaultColWidth="9.140625" customHeight="1"/>
  <cols>
    <col min="1" max="1" style="35" width="20.00390625" customWidth="1"/>
    <col min="2" max="2" style="35" width="18.28125" customWidth="1"/>
    <col min="3" max="3" style="35" width="22.28125" customWidth="1"/>
    <col min="4" max="4" style="35" width="15.57421875" customWidth="1"/>
    <col min="5" max="5" style="35" width="18.57421875" customWidth="1"/>
    <col min="6" max="6" style="35" width="14.57421875" customWidth="1"/>
    <col min="7" max="7" style="35" width="17.7109375" customWidth="1"/>
    <col min="8" max="8" style="35" width="16.00390625" customWidth="1"/>
    <col min="9" max="9" style="35" width="21.8515625" customWidth="1"/>
  </cols>
  <sheetData>
    <row r="1" ht="15" customHeight="1">
      <c r="A1" s="27" t="s">
        <v>13</v>
      </c>
      <c r="B1" s="28" t="s">
        <v>37</v>
      </c>
      <c r="C1" s="28" t="s">
        <v>38</v>
      </c>
      <c r="D1" s="28" t="s">
        <v>39</v>
      </c>
      <c r="E1" s="28" t="s">
        <v>40</v>
      </c>
      <c r="F1" s="28" t="s">
        <v>41</v>
      </c>
      <c r="G1" s="28" t="s">
        <v>42</v>
      </c>
      <c r="H1" s="28" t="s">
        <v>43</v>
      </c>
      <c r="I1" s="28" t="s">
        <v>44</v>
      </c>
    </row>
    <row r="2" ht="15" customHeight="1">
      <c r="A2" s="29">
        <v>1</v>
      </c>
      <c r="B2" s="21">
        <v>7.14666666666667</v>
      </c>
      <c r="C2" s="30">
        <v>0.14</v>
      </c>
      <c r="D2" s="31">
        <v>6.993333333333333</v>
      </c>
      <c r="E2" s="31">
        <v>0.0351188458428426</v>
      </c>
      <c r="F2" s="32">
        <v>7.113333333333333</v>
      </c>
      <c r="G2" s="32">
        <v>0.06806859285554084</v>
      </c>
      <c r="H2" s="31">
        <v>7.07</v>
      </c>
      <c r="I2" s="21">
        <v>0.03605551275464011</v>
      </c>
    </row>
    <row r="3" ht="15" customHeight="1">
      <c r="A3" s="29">
        <v>2</v>
      </c>
      <c r="B3" s="21">
        <v>6.573333333333333</v>
      </c>
      <c r="C3" s="21">
        <v>0.4735328218121156</v>
      </c>
      <c r="D3" s="31">
        <v>6.41</v>
      </c>
      <c r="E3" s="31">
        <v>0.09165151389904876</v>
      </c>
      <c r="F3" s="32">
        <v>6.04</v>
      </c>
      <c r="G3" s="32">
        <v>0.10000000000002558</v>
      </c>
      <c r="H3" s="31">
        <v>6.38</v>
      </c>
      <c r="I3" s="21">
        <v>0.07000000000000003</v>
      </c>
    </row>
    <row r="4" ht="15" customHeight="1">
      <c r="A4" s="29">
        <v>3</v>
      </c>
      <c r="B4" s="21">
        <v>6.58666666666667</v>
      </c>
      <c r="C4" s="21">
        <v>0.19731531449268405</v>
      </c>
      <c r="D4" s="31">
        <v>6.976666666666667</v>
      </c>
      <c r="E4" s="31">
        <v>0.05131601439446873</v>
      </c>
      <c r="F4" s="32">
        <v>6.19</v>
      </c>
      <c r="G4" s="32">
        <v>0.04358898943540682</v>
      </c>
      <c r="H4" s="31">
        <v>6.933333333333334</v>
      </c>
      <c r="I4" s="21">
        <v>0.025166114784235766</v>
      </c>
    </row>
    <row r="5" ht="15" customHeight="1">
      <c r="A5" s="29">
        <v>4</v>
      </c>
      <c r="B5" s="21">
        <v>7.363333333333333</v>
      </c>
      <c r="C5" s="21">
        <v>0.18175074506950853</v>
      </c>
      <c r="D5" s="31">
        <v>7.693333333333334</v>
      </c>
      <c r="E5" s="31">
        <v>0.005773502691896135</v>
      </c>
      <c r="F5" s="32">
        <v>7.330000000000001</v>
      </c>
      <c r="G5" s="32">
        <v>0.062449979983984</v>
      </c>
      <c r="H5" s="31">
        <v>7.64</v>
      </c>
      <c r="I5" s="21">
        <v>0.010000000000000231</v>
      </c>
    </row>
    <row r="6" ht="15" customHeight="1">
      <c r="A6" s="29">
        <v>5</v>
      </c>
      <c r="B6" s="21">
        <v>8.700000000000001</v>
      </c>
      <c r="C6" s="21">
        <v>0.21517434791347229</v>
      </c>
      <c r="D6" s="31">
        <v>7.580000000000001</v>
      </c>
      <c r="E6" s="31">
        <v>0.09539392014171376</v>
      </c>
      <c r="F6" s="32">
        <v>8.57</v>
      </c>
      <c r="G6" s="32">
        <v>0.12489995996787931</v>
      </c>
      <c r="H6" s="31">
        <v>7.446666666666666</v>
      </c>
      <c r="I6" s="21">
        <v>0.037859388972002035</v>
      </c>
    </row>
    <row r="7" ht="15" customHeight="1">
      <c r="A7" s="29">
        <v>6</v>
      </c>
      <c r="B7" s="21">
        <v>6.986666666666667</v>
      </c>
      <c r="C7" s="21">
        <v>0.32347076117220414</v>
      </c>
      <c r="D7" s="31">
        <v>7.010000000000001</v>
      </c>
      <c r="E7" s="31">
        <v>0.03464101615137783</v>
      </c>
      <c r="F7" s="32">
        <v>6.573333333333333</v>
      </c>
      <c r="G7" s="32">
        <v>0.05507570547286116</v>
      </c>
      <c r="H7" s="31">
        <v>7.366666666666667</v>
      </c>
      <c r="I7" s="21">
        <v>0.01154700538379227</v>
      </c>
    </row>
    <row r="8" ht="15" customHeight="1">
      <c r="A8" s="29">
        <v>7</v>
      </c>
      <c r="B8" s="21">
        <v>6.18</v>
      </c>
      <c r="C8" s="21">
        <v>0.05291502622129202</v>
      </c>
      <c r="D8" s="31">
        <v>5.923333333333333</v>
      </c>
      <c r="E8" s="31">
        <v>0.24826061575153838</v>
      </c>
      <c r="F8" s="32">
        <v>6.016666666666666</v>
      </c>
      <c r="G8" s="32">
        <v>0.03785938897200152</v>
      </c>
      <c r="H8" s="31">
        <v>5.763333333333333</v>
      </c>
      <c r="I8" s="21">
        <v>0.023094010767585053</v>
      </c>
    </row>
    <row r="9" ht="15" customHeight="1">
      <c r="A9" s="29">
        <v>8</v>
      </c>
      <c r="B9" s="21">
        <v>7.996666666666667</v>
      </c>
      <c r="C9" s="21">
        <v>0.4215843134336328</v>
      </c>
      <c r="D9" s="31">
        <v>7</v>
      </c>
      <c r="E9" s="31">
        <v>0.026457513110645845</v>
      </c>
      <c r="F9" s="32">
        <v>7.969999999999999</v>
      </c>
      <c r="G9" s="32">
        <v>0.10440306508920504</v>
      </c>
      <c r="H9" s="31">
        <v>7.239999999999999</v>
      </c>
      <c r="I9" s="21">
        <v>0.045825756949558295</v>
      </c>
    </row>
    <row r="10" ht="15" customHeight="1">
      <c r="A10" s="29">
        <v>9</v>
      </c>
      <c r="B10" s="21">
        <v>8.993333333333332</v>
      </c>
      <c r="C10" s="21">
        <v>0.227229692895409</v>
      </c>
      <c r="D10" s="31">
        <v>6.123333333333332</v>
      </c>
      <c r="E10" s="31">
        <v>0.032145502536643326</v>
      </c>
      <c r="F10" s="32">
        <v>8.523333333333333</v>
      </c>
      <c r="G10" s="32">
        <v>0.16072751268314284</v>
      </c>
      <c r="H10" s="31">
        <v>6.333333333333333</v>
      </c>
      <c r="I10" s="21">
        <v>0.020816659994661382</v>
      </c>
    </row>
    <row r="11" ht="15" customHeight="1">
      <c r="A11" s="29">
        <v>10</v>
      </c>
      <c r="B11" s="21">
        <v>4.6000000000000005</v>
      </c>
      <c r="C11" s="21">
        <v>0.19467922333930998</v>
      </c>
      <c r="D11" s="31">
        <v>5.953333333333333</v>
      </c>
      <c r="E11" s="31">
        <v>0.16563010998404676</v>
      </c>
      <c r="F11" s="32">
        <v>4.126666666666666</v>
      </c>
      <c r="G11" s="32">
        <v>0.0814452781524922</v>
      </c>
      <c r="H11" s="31">
        <v>5.323333333333333</v>
      </c>
      <c r="I11" s="21">
        <v>0.045092497528228866</v>
      </c>
    </row>
    <row r="12" ht="15" customHeight="1">
      <c r="A12" s="29">
        <v>11</v>
      </c>
      <c r="B12" s="21">
        <v>7.87</v>
      </c>
      <c r="C12" s="21">
        <v>0.5436910887627343</v>
      </c>
      <c r="D12" s="31">
        <v>7.113333333333333</v>
      </c>
      <c r="E12" s="31">
        <v>0.0351188458428426</v>
      </c>
      <c r="F12" s="32">
        <v>7.866666666666667</v>
      </c>
      <c r="G12" s="32">
        <v>0.1755942292142134</v>
      </c>
      <c r="H12" s="31">
        <v>7.456666666666666</v>
      </c>
      <c r="I12" s="21">
        <v>0.06027713773341668</v>
      </c>
    </row>
    <row r="13" ht="15" customHeight="1">
      <c r="A13" s="29">
        <v>12</v>
      </c>
      <c r="B13" s="21">
        <v>8.383333333333335</v>
      </c>
      <c r="C13" s="21">
        <v>0.11930353445438426</v>
      </c>
      <c r="D13" s="31">
        <v>6.996666666666666</v>
      </c>
      <c r="E13" s="31">
        <v>0.03214550253664301</v>
      </c>
      <c r="F13" s="32">
        <v>7.953333333333333</v>
      </c>
      <c r="G13" s="32">
        <v>0.12096831541083782</v>
      </c>
      <c r="H13" s="31">
        <v>7.53</v>
      </c>
      <c r="I13" s="21">
        <v>0.03605551275463961</v>
      </c>
    </row>
    <row r="14" ht="15" customHeight="1">
      <c r="A14" s="29">
        <v>40</v>
      </c>
      <c r="B14" s="21">
        <v>6.746666666666667</v>
      </c>
      <c r="C14" s="21">
        <v>0.045092497528228866</v>
      </c>
      <c r="D14" s="31">
        <v>6.933333333333334</v>
      </c>
      <c r="E14" s="31">
        <v>0.005773502691896647</v>
      </c>
      <c r="F14" s="32">
        <v>7.126666666666668</v>
      </c>
      <c r="G14" s="32">
        <v>0.030550504633039155</v>
      </c>
      <c r="H14" s="31">
        <v>7.34</v>
      </c>
      <c r="I14" s="21">
        <v>0.05291502622129169</v>
      </c>
    </row>
    <row r="15" ht="15" customHeight="1">
      <c r="A15" s="29">
        <v>39</v>
      </c>
      <c r="B15" s="21">
        <v>6.94666666666667</v>
      </c>
      <c r="C15" s="21">
        <v>0.037859388972002</v>
      </c>
      <c r="D15" s="31">
        <v>7.16</v>
      </c>
      <c r="E15" s="31">
        <v>0.03464101615137783</v>
      </c>
      <c r="F15" s="32">
        <v>7.633333333333333</v>
      </c>
      <c r="G15" s="32">
        <v>0.01154700538379227</v>
      </c>
      <c r="H15" s="31">
        <v>7.6933333333333325</v>
      </c>
      <c r="I15" s="21">
        <v>0.025166114784235707</v>
      </c>
    </row>
    <row r="16" ht="15" customHeight="1">
      <c r="A16" s="29">
        <v>38</v>
      </c>
      <c r="B16" s="21">
        <v>6.5200000000000005</v>
      </c>
      <c r="C16" s="21">
        <v>0.05567764362830039</v>
      </c>
      <c r="D16" s="31">
        <v>6.486666666666667</v>
      </c>
      <c r="E16" s="31">
        <v>0.09073771725867545</v>
      </c>
      <c r="F16" s="32">
        <v>6.8066666666666675</v>
      </c>
      <c r="G16" s="32">
        <v>0.011547005383792781</v>
      </c>
      <c r="H16" s="31">
        <v>6.513333333333333</v>
      </c>
      <c r="I16" s="21">
        <v>0.025166114784235766</v>
      </c>
    </row>
    <row r="17" ht="15" customHeight="1">
      <c r="A17" s="29">
        <v>37</v>
      </c>
      <c r="B17" s="21">
        <v>7.010000000000001</v>
      </c>
      <c r="C17" s="21">
        <v>0.09643650760983559</v>
      </c>
      <c r="D17" s="31">
        <v>7.19</v>
      </c>
      <c r="E17" s="31">
        <v>0.06082762530298193</v>
      </c>
      <c r="F17" s="32">
        <v>7.443333333333334</v>
      </c>
      <c r="G17" s="32">
        <v>0.0351188458428426</v>
      </c>
      <c r="H17" s="31">
        <v>7.4366666666666665</v>
      </c>
      <c r="I17" s="21">
        <v>0.06658328118479381</v>
      </c>
    </row>
    <row r="18" ht="15" customHeight="1">
      <c r="A18" s="29">
        <v>36</v>
      </c>
      <c r="B18" s="21">
        <v>6.783333333333334</v>
      </c>
      <c r="C18" s="21">
        <v>0.09504384952915454</v>
      </c>
      <c r="D18" s="31">
        <v>7.483333333333333</v>
      </c>
      <c r="E18" s="31">
        <v>0.06658328118479354</v>
      </c>
      <c r="F18" s="32">
        <v>7.316666666666666</v>
      </c>
      <c r="G18" s="32">
        <v>0.005773502691896647</v>
      </c>
      <c r="H18" s="31">
        <v>7.263333333333333</v>
      </c>
      <c r="I18" s="21">
        <v>0.08386497083606109</v>
      </c>
    </row>
    <row r="19" ht="15" customHeight="1">
      <c r="A19" s="29">
        <v>35</v>
      </c>
      <c r="B19" s="21">
        <v>6.326666666666667</v>
      </c>
      <c r="C19" s="21">
        <v>0.11590225767135609</v>
      </c>
      <c r="D19" s="31">
        <v>6.56</v>
      </c>
      <c r="E19" s="31">
        <v>0.06082762530298192</v>
      </c>
      <c r="F19" s="32">
        <v>6.446666666666666</v>
      </c>
      <c r="G19" s="32">
        <v>0.015275252316519626</v>
      </c>
      <c r="H19" s="31">
        <v>6.3</v>
      </c>
      <c r="I19" s="21">
        <v>0.03464101615137783</v>
      </c>
    </row>
    <row r="20" ht="15" customHeight="1">
      <c r="A20" s="29">
        <v>34</v>
      </c>
      <c r="B20" s="21">
        <v>6.493333333333333</v>
      </c>
      <c r="C20" s="21">
        <v>0.09291573243171203</v>
      </c>
      <c r="D20" s="31">
        <v>7.086666666666666</v>
      </c>
      <c r="E20" s="31">
        <v>0.19139836293279971</v>
      </c>
      <c r="F20" s="32">
        <v>6.8066666666666675</v>
      </c>
      <c r="G20" s="32">
        <v>0.020816659994661382</v>
      </c>
      <c r="H20" s="31">
        <v>6.906666666666666</v>
      </c>
      <c r="I20" s="21">
        <v>0.015275252316519626</v>
      </c>
    </row>
    <row r="21" ht="15" customHeight="1">
      <c r="A21" s="29">
        <v>33</v>
      </c>
      <c r="B21" s="21">
        <v>6.37</v>
      </c>
      <c r="C21" s="21">
        <v>0.12165525060593944</v>
      </c>
      <c r="D21" s="31">
        <v>7.3933333333333335</v>
      </c>
      <c r="E21" s="31">
        <v>0.17009801096229046</v>
      </c>
      <c r="F21" s="32">
        <v>6.196666666666666</v>
      </c>
      <c r="G21" s="32">
        <v>0.07094598884597572</v>
      </c>
      <c r="H21" s="31">
        <v>6.763333333333333</v>
      </c>
      <c r="I21" s="21">
        <v>0.14047538337137477</v>
      </c>
    </row>
    <row r="22" ht="15" customHeight="1">
      <c r="A22" s="29">
        <v>32</v>
      </c>
      <c r="B22" s="21">
        <v>6.359999999999999</v>
      </c>
      <c r="C22" s="21">
        <v>0.050000000000000266</v>
      </c>
      <c r="D22" s="31">
        <v>6.8566666666666665</v>
      </c>
      <c r="E22" s="31">
        <v>0.18147543451754666</v>
      </c>
      <c r="F22" s="32">
        <v>6.876666666666666</v>
      </c>
      <c r="G22" s="32">
        <v>0.06658328118479387</v>
      </c>
      <c r="H22" s="31">
        <v>6.623333333333334</v>
      </c>
      <c r="I22" s="21">
        <v>0.1137248140615598</v>
      </c>
    </row>
    <row r="23" ht="15" customHeight="1">
      <c r="A23" s="29">
        <v>31</v>
      </c>
      <c r="B23" s="21">
        <v>6.653333333333333</v>
      </c>
      <c r="C23" s="21">
        <v>0.005773502691896135</v>
      </c>
      <c r="D23" s="31">
        <v>7.5200000000000005</v>
      </c>
      <c r="E23" s="31">
        <v>0.04358898943540682</v>
      </c>
      <c r="F23" s="32">
        <v>6.986666666666667</v>
      </c>
      <c r="G23" s="32">
        <v>0.08736894948052734</v>
      </c>
      <c r="H23" s="31">
        <v>7.713333333333334</v>
      </c>
      <c r="I23" s="21">
        <v>0.0351188458428426</v>
      </c>
    </row>
    <row r="24" ht="15" customHeight="1">
      <c r="A24" s="29">
        <v>30</v>
      </c>
      <c r="B24" s="21">
        <v>6.96</v>
      </c>
      <c r="C24" s="21">
        <v>0.09000000000007276</v>
      </c>
      <c r="D24" s="31">
        <v>7.68</v>
      </c>
      <c r="E24" s="31">
        <v>0.0721110255092796</v>
      </c>
      <c r="F24" s="32">
        <v>7.3133333333333335</v>
      </c>
      <c r="G24" s="32">
        <v>0.04163331998932276</v>
      </c>
      <c r="H24" s="31">
        <v>7.993333333333333</v>
      </c>
      <c r="I24" s="21">
        <v>0.01154700538379227</v>
      </c>
    </row>
    <row r="25" ht="15" customHeight="1">
      <c r="A25" s="29">
        <v>29</v>
      </c>
      <c r="B25" s="21">
        <v>7.79</v>
      </c>
      <c r="C25" s="21">
        <v>0.08999999999991486</v>
      </c>
      <c r="D25" s="31">
        <v>7.706666666666666</v>
      </c>
      <c r="E25" s="31">
        <v>0.3000555504125062</v>
      </c>
      <c r="F25" s="32">
        <v>8.156666666666666</v>
      </c>
      <c r="G25" s="32">
        <v>0.025166114784235295</v>
      </c>
      <c r="H25" s="31">
        <v>7.913333333333334</v>
      </c>
      <c r="I25" s="21">
        <v>0.02516611478423618</v>
      </c>
    </row>
    <row r="26" ht="15" customHeight="1">
      <c r="A26" s="29">
        <v>28</v>
      </c>
      <c r="B26" s="21">
        <v>8.116666666666667</v>
      </c>
      <c r="C26" s="21">
        <v>0.055075705472860705</v>
      </c>
      <c r="D26" s="31">
        <v>8.146666666666667</v>
      </c>
      <c r="E26" s="31">
        <v>0.0802080627701065</v>
      </c>
      <c r="F26" s="32">
        <v>8.456666666666667</v>
      </c>
      <c r="G26" s="32">
        <v>0.04041451884327397</v>
      </c>
      <c r="H26" s="31">
        <v>8.346666666666666</v>
      </c>
      <c r="I26" s="21">
        <v>0.08082903768654764</v>
      </c>
    </row>
    <row r="27" ht="15" customHeight="1">
      <c r="A27" s="29">
        <v>27</v>
      </c>
      <c r="B27" s="21">
        <v>7.866666666666667</v>
      </c>
      <c r="C27" s="21">
        <v>0.06110100926607792</v>
      </c>
      <c r="D27" s="31">
        <v>7.953333333333333</v>
      </c>
      <c r="E27" s="31">
        <v>0.07571877794400306</v>
      </c>
      <c r="F27" s="32">
        <v>8.176666666666668</v>
      </c>
      <c r="G27" s="32">
        <v>0.0577350269189634</v>
      </c>
      <c r="H27" s="31">
        <v>8.396666666666667</v>
      </c>
      <c r="I27" s="21">
        <v>0.005773502691896135</v>
      </c>
    </row>
    <row r="28" ht="15" customHeight="1">
      <c r="A28" s="29">
        <v>26</v>
      </c>
      <c r="B28" s="21">
        <v>7.6000000000000005</v>
      </c>
      <c r="C28" s="21">
        <v>0.09539392014171376</v>
      </c>
      <c r="D28" s="31">
        <v>8.046666666666667</v>
      </c>
      <c r="E28" s="31">
        <v>0.04041451884327397</v>
      </c>
      <c r="F28" s="32">
        <v>8.026666666666666</v>
      </c>
      <c r="G28" s="32">
        <v>0.01527525231651914</v>
      </c>
      <c r="H28" s="31">
        <v>8.143333333333333</v>
      </c>
      <c r="I28" s="21">
        <v>0.02516611478423612</v>
      </c>
    </row>
    <row r="29" ht="15" customHeight="1">
      <c r="A29" s="29">
        <v>25</v>
      </c>
      <c r="B29" s="21">
        <v>8.196666666666667</v>
      </c>
      <c r="C29" s="21">
        <v>0.025166114784236117</v>
      </c>
      <c r="D29" s="31">
        <v>8.07</v>
      </c>
      <c r="E29" s="31">
        <v>0.19078784028339027</v>
      </c>
      <c r="F29" s="32">
        <v>8.493333333333334</v>
      </c>
      <c r="G29" s="32">
        <v>0.005773502691896135</v>
      </c>
      <c r="H29" s="31">
        <v>8.533333333333333</v>
      </c>
      <c r="I29" s="21">
        <v>0.05507570547286076</v>
      </c>
    </row>
    <row r="30" ht="15" customHeight="1">
      <c r="A30" s="29">
        <v>24</v>
      </c>
      <c r="B30" s="21">
        <v>8.013333333333334</v>
      </c>
      <c r="C30" s="21">
        <v>0.040414518843274225</v>
      </c>
      <c r="D30" s="31">
        <v>8.86</v>
      </c>
      <c r="E30" s="31">
        <v>0.113578166916139</v>
      </c>
      <c r="F30" s="32">
        <v>8.33</v>
      </c>
      <c r="G30" s="32">
        <v>0.02645751311064534</v>
      </c>
      <c r="H30" s="31">
        <v>9.183333333333334</v>
      </c>
      <c r="I30" s="21">
        <v>0.025166114784236235</v>
      </c>
    </row>
    <row r="31" ht="15" customHeight="1">
      <c r="A31" s="29">
        <v>23</v>
      </c>
      <c r="B31" s="21">
        <v>7.56</v>
      </c>
      <c r="C31" s="21">
        <v>0.05291502622129203</v>
      </c>
      <c r="D31" s="31">
        <v>8.546666666666667</v>
      </c>
      <c r="E31" s="31">
        <v>0.1365039681963159</v>
      </c>
      <c r="F31" s="32">
        <v>8.006666666666668</v>
      </c>
      <c r="G31" s="32">
        <v>0.04725815626252643</v>
      </c>
      <c r="H31" s="31">
        <v>8.653333333333334</v>
      </c>
      <c r="I31" s="21">
        <v>0.025166114784235295</v>
      </c>
    </row>
    <row r="32" ht="15" customHeight="1">
      <c r="A32" s="29">
        <v>22</v>
      </c>
      <c r="B32" s="21">
        <v>7.78</v>
      </c>
      <c r="C32" s="21">
        <v>0.1153256259467122</v>
      </c>
      <c r="D32" s="31">
        <v>7.746666666666667</v>
      </c>
      <c r="E32" s="31">
        <v>0.005773502691896135</v>
      </c>
      <c r="F32" s="32">
        <v>8.186666666666667</v>
      </c>
      <c r="G32" s="32">
        <v>0.02081665999466188</v>
      </c>
      <c r="H32" s="31">
        <v>8.253333333333334</v>
      </c>
      <c r="I32" s="21">
        <v>0.058594652770822916</v>
      </c>
    </row>
    <row r="33" ht="15" customHeight="1">
      <c r="A33" s="33">
        <v>21</v>
      </c>
      <c r="B33" s="34">
        <v>8.643333333333333</v>
      </c>
      <c r="C33" s="34">
        <v>0.0288675134594817</v>
      </c>
      <c r="D33" s="31">
        <v>8.566666666666666</v>
      </c>
      <c r="E33" s="31">
        <v>0.14843629385477128</v>
      </c>
      <c r="F33" s="32">
        <v>8.983333333333333</v>
      </c>
      <c r="G33" s="32">
        <v>0.04163331998932248</v>
      </c>
      <c r="H33" s="31">
        <v>8.756666666666666</v>
      </c>
      <c r="I33" s="21">
        <v>0.16862186493257422</v>
      </c>
    </row>
    <row r="34" ht="15" customHeight="1">
      <c r="A34" s="29">
        <v>20</v>
      </c>
      <c r="B34" s="21">
        <v>7.599999999999999</v>
      </c>
      <c r="C34" s="21">
        <v>0.0818535277187246</v>
      </c>
      <c r="D34" s="31">
        <v>7.5</v>
      </c>
      <c r="E34" s="31">
        <v>0.27784887978900474</v>
      </c>
      <c r="F34" s="32">
        <v>8.06</v>
      </c>
      <c r="G34" s="32">
        <v>0.01732050807568943</v>
      </c>
      <c r="H34" s="31">
        <v>7.963333333333334</v>
      </c>
      <c r="I34" s="21">
        <v>0.01154700538379227</v>
      </c>
    </row>
    <row r="35" ht="15" customHeight="1">
      <c r="A35" s="29">
        <v>19</v>
      </c>
      <c r="B35" s="21">
        <v>6.903333333333333</v>
      </c>
      <c r="C35" s="21">
        <v>0.045092497528228866</v>
      </c>
      <c r="D35" s="31">
        <v>7.043333333333333</v>
      </c>
      <c r="E35" s="31">
        <v>0.032145502536643326</v>
      </c>
      <c r="F35" s="32">
        <v>7.693333333333334</v>
      </c>
      <c r="G35" s="32">
        <v>0.04725815626252642</v>
      </c>
      <c r="H35" s="31">
        <v>7.353333333333334</v>
      </c>
      <c r="I35" s="21">
        <v>0.005773502691896647</v>
      </c>
    </row>
    <row r="36" ht="15" customHeight="1">
      <c r="A36" s="29">
        <v>18</v>
      </c>
      <c r="B36" s="21">
        <v>7.1066666666666665</v>
      </c>
      <c r="C36" s="21">
        <v>0.12662279942150934</v>
      </c>
      <c r="D36" s="31">
        <v>7.626666666666666</v>
      </c>
      <c r="E36" s="31">
        <v>0.01527525231651914</v>
      </c>
      <c r="F36" s="32">
        <v>7.736666666666667</v>
      </c>
      <c r="G36" s="32">
        <v>0.07767453465153999</v>
      </c>
      <c r="H36" s="31">
        <v>8.183333333333332</v>
      </c>
      <c r="I36" s="21">
        <v>0.08144527815247107</v>
      </c>
    </row>
    <row r="37" ht="15" customHeight="1">
      <c r="A37" s="29">
        <v>17</v>
      </c>
      <c r="B37" s="21">
        <v>7.213333333333334</v>
      </c>
      <c r="C37" s="21">
        <v>0.12701705922175613</v>
      </c>
      <c r="D37" s="31">
        <v>7.239999999999999</v>
      </c>
      <c r="E37" s="31">
        <v>0.07810249675906641</v>
      </c>
      <c r="F37" s="32">
        <v>7.773333333333333</v>
      </c>
      <c r="G37" s="32">
        <v>0.03511884584284218</v>
      </c>
      <c r="H37" s="31">
        <v>7.783333333333334</v>
      </c>
      <c r="I37" s="21">
        <v>0.005773502691896135</v>
      </c>
    </row>
    <row r="38" ht="15" customHeight="1">
      <c r="A38" s="29">
        <v>16</v>
      </c>
      <c r="B38" s="21">
        <v>7.3933333333333335</v>
      </c>
      <c r="C38" s="21">
        <v>0.09451631252504226</v>
      </c>
      <c r="D38" s="31">
        <v>7.293333333333334</v>
      </c>
      <c r="E38" s="31">
        <v>0.0907377172587146</v>
      </c>
      <c r="F38" s="32">
        <v>8.049999999999999</v>
      </c>
      <c r="G38" s="32">
        <v>0.03000000000000025</v>
      </c>
      <c r="H38" s="31">
        <v>7.703333333333333</v>
      </c>
      <c r="I38" s="21">
        <v>0.02081665999466138</v>
      </c>
    </row>
    <row r="39" ht="15" customHeight="1">
      <c r="A39" s="29">
        <v>15</v>
      </c>
      <c r="B39" s="21">
        <v>7.373333333333332</v>
      </c>
      <c r="C39" s="21">
        <v>0.02516611478423618</v>
      </c>
      <c r="D39" s="31">
        <v>7.283333333333334</v>
      </c>
      <c r="E39" s="31">
        <v>0.06506407098647705</v>
      </c>
      <c r="F39" s="32">
        <v>8.1</v>
      </c>
      <c r="G39" s="32">
        <v>0.009999999999999787</v>
      </c>
      <c r="H39" s="31">
        <v>7.833333333333333</v>
      </c>
      <c r="I39" s="21">
        <v>0.032145502536643326</v>
      </c>
    </row>
    <row r="40" ht="15" customHeight="1">
      <c r="A40" s="29">
        <v>14</v>
      </c>
      <c r="B40" s="21">
        <v>7.753333333333334</v>
      </c>
      <c r="C40" s="21">
        <v>0.03214550253664301</v>
      </c>
      <c r="D40" s="31">
        <v>7.71</v>
      </c>
      <c r="E40" s="31">
        <v>0.11789826122548404</v>
      </c>
      <c r="F40" s="32">
        <v>8.23</v>
      </c>
      <c r="G40" s="32">
        <v>0.009999999999999787</v>
      </c>
      <c r="H40" s="31">
        <v>8.326666666666666</v>
      </c>
      <c r="I40" s="21">
        <v>0.08504900548115368</v>
      </c>
    </row>
    <row r="41" ht="15" customHeight="1">
      <c r="A41" s="29">
        <v>13</v>
      </c>
      <c r="B41" s="21">
        <v>7.326666666666665</v>
      </c>
      <c r="C41" s="21">
        <v>0.659873725293987</v>
      </c>
      <c r="D41" s="31">
        <v>7.496666666666667</v>
      </c>
      <c r="E41" s="31">
        <v>0.07094598884597572</v>
      </c>
      <c r="F41" s="32">
        <v>8.1</v>
      </c>
      <c r="G41" s="32">
        <v>0.06928203230275566</v>
      </c>
      <c r="H41" s="31">
        <v>8.266666666666667</v>
      </c>
      <c r="I41" s="21">
        <v>0.06110100926607831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3EB6194-293F-43AD-8926-159648140DD3}" mc:Ignorable="x14ac xr xr2 xr3">
  <dimension ref="A1:J41"/>
  <sheetViews>
    <sheetView topLeftCell="A1" zoomScale="85" workbookViewId="0">
      <selection activeCell="J7" sqref="J7"/>
    </sheetView>
  </sheetViews>
  <sheetFormatPr defaultRowHeight="15" defaultColWidth="9.140625" customHeight="1"/>
  <cols>
    <col min="1" max="1" style="35" width="20.00390625" customWidth="1"/>
    <col min="2" max="2" style="35" width="20.140625" customWidth="1"/>
    <col min="3" max="3" style="35" width="28.421875" customWidth="1"/>
    <col min="4" max="4" style="35" width="26.57421875" customWidth="1"/>
    <col min="5" max="5" style="35" width="28.00390625" customWidth="1"/>
    <col min="6" max="6" style="35" width="9.140625" customWidth="1"/>
  </cols>
  <sheetData>
    <row r="1" ht="15" customHeight="1">
      <c r="A1" s="27" t="s">
        <v>13</v>
      </c>
      <c r="B1" s="28" t="s">
        <v>45</v>
      </c>
      <c r="C1" s="28" t="s">
        <v>46</v>
      </c>
      <c r="D1" s="28" t="s">
        <v>47</v>
      </c>
      <c r="E1" s="28" t="s">
        <v>48</v>
      </c>
    </row>
    <row r="2" ht="15" customHeight="1">
      <c r="A2" s="29">
        <v>1</v>
      </c>
      <c r="B2" s="21">
        <v>645.15</v>
      </c>
      <c r="C2" s="36">
        <v>53.952247404533544</v>
      </c>
      <c r="D2" s="31">
        <v>333.06666666666666</v>
      </c>
      <c r="E2" s="31">
        <v>18.966900994451695</v>
      </c>
    </row>
    <row r="3" ht="15" customHeight="1">
      <c r="A3" s="29">
        <v>2</v>
      </c>
      <c r="B3" s="21">
        <v>75.70333333333333</v>
      </c>
      <c r="C3" s="21">
        <v>18.125066436659758</v>
      </c>
      <c r="D3" s="31">
        <v>168.36666666666667</v>
      </c>
      <c r="E3" s="31">
        <v>5.0520622851795265</v>
      </c>
    </row>
    <row r="4" ht="15" customHeight="1">
      <c r="A4" s="29">
        <v>3</v>
      </c>
      <c r="B4" s="21">
        <v>135.0666666666667</v>
      </c>
      <c r="C4" s="21">
        <v>28.456516535467358</v>
      </c>
      <c r="D4" s="31">
        <v>915.0666666666666</v>
      </c>
      <c r="E4" s="31">
        <v>10.46151677976636</v>
      </c>
    </row>
    <row r="5" ht="15" customHeight="1">
      <c r="A5" s="29">
        <v>4</v>
      </c>
      <c r="B5" s="21">
        <v>148.16666666666666</v>
      </c>
      <c r="C5" s="21">
        <v>24.57078210666757</v>
      </c>
      <c r="D5" s="31">
        <v>695.4333333333334</v>
      </c>
      <c r="E5" s="31">
        <v>8.18677795798401</v>
      </c>
    </row>
    <row r="6" ht="15" customHeight="1">
      <c r="A6" s="29">
        <v>5</v>
      </c>
      <c r="B6" s="21">
        <v>709.4666666666667</v>
      </c>
      <c r="C6" s="21">
        <v>239.54793535602278</v>
      </c>
      <c r="D6" s="31">
        <v>699.6999999999999</v>
      </c>
      <c r="E6" s="31">
        <v>42.99895347563707</v>
      </c>
    </row>
    <row r="7" ht="15" customHeight="1">
      <c r="A7" s="29">
        <v>6</v>
      </c>
      <c r="B7" s="21">
        <v>158.53333333333333</v>
      </c>
      <c r="C7" s="21">
        <v>21.209510445395427</v>
      </c>
      <c r="D7" s="31">
        <v>450.26666666666665</v>
      </c>
      <c r="E7" s="31">
        <v>15.147717099726055</v>
      </c>
    </row>
    <row r="8" ht="15" customHeight="1">
      <c r="A8" s="29">
        <v>7</v>
      </c>
      <c r="B8" s="21">
        <v>238.29999999999998</v>
      </c>
      <c r="C8" s="21">
        <v>14.080838043241602</v>
      </c>
      <c r="D8" s="31">
        <v>673.2333333333332</v>
      </c>
      <c r="E8" s="31">
        <v>24.035251888285558</v>
      </c>
    </row>
    <row r="9" ht="15" customHeight="1">
      <c r="A9" s="29">
        <v>8</v>
      </c>
      <c r="B9" s="21">
        <v>130.5</v>
      </c>
      <c r="C9" s="21">
        <v>13.631947769852992</v>
      </c>
      <c r="D9" s="31" t="s">
        <v>49</v>
      </c>
      <c r="E9" s="31" t="s">
        <v>49</v>
      </c>
    </row>
    <row r="10" ht="15" customHeight="1">
      <c r="A10" s="29">
        <v>9</v>
      </c>
      <c r="B10" s="21">
        <v>478.6333333333334</v>
      </c>
      <c r="C10" s="21">
        <v>135.8556709649373</v>
      </c>
      <c r="D10" s="31">
        <v>362</v>
      </c>
      <c r="E10" s="31">
        <v>25.344230112591696</v>
      </c>
    </row>
    <row r="11" ht="15" customHeight="1">
      <c r="A11" s="29">
        <v>10</v>
      </c>
      <c r="B11" s="21">
        <v>59.75333333333333</v>
      </c>
      <c r="C11" s="21">
        <v>5.284470960591357</v>
      </c>
      <c r="D11" s="31">
        <v>209.63333333333333</v>
      </c>
      <c r="E11" s="31">
        <v>16.017906646417103</v>
      </c>
    </row>
    <row r="12" ht="15" customHeight="1">
      <c r="A12" s="29">
        <v>11</v>
      </c>
      <c r="B12" s="21">
        <v>99.29666666666668</v>
      </c>
      <c r="C12" s="21">
        <v>5.815499405324819</v>
      </c>
      <c r="D12" s="31">
        <v>359.5333333333333</v>
      </c>
      <c r="E12" s="31">
        <v>63.54725275992154</v>
      </c>
    </row>
    <row r="13" ht="15" customHeight="1">
      <c r="A13" s="29">
        <v>12</v>
      </c>
      <c r="B13" s="21">
        <v>109.5</v>
      </c>
      <c r="C13" s="21">
        <v>2.666458325194675</v>
      </c>
      <c r="D13" s="31">
        <v>379.2333333333333</v>
      </c>
      <c r="E13" s="31">
        <v>0.986576572463226</v>
      </c>
    </row>
    <row r="14" ht="15" customHeight="1">
      <c r="A14" s="29">
        <v>40</v>
      </c>
      <c r="B14" s="21">
        <v>184.4333333333333</v>
      </c>
      <c r="C14" s="21">
        <v>6.066575090883932</v>
      </c>
      <c r="D14" s="31">
        <v>524.5</v>
      </c>
      <c r="E14" s="31">
        <v>30.604084694693963</v>
      </c>
    </row>
    <row r="15" ht="15" customHeight="1">
      <c r="A15" s="29">
        <v>39</v>
      </c>
      <c r="B15" s="21">
        <v>322.8666666666666</v>
      </c>
      <c r="C15" s="21">
        <v>7.414400402819718</v>
      </c>
      <c r="D15" s="31">
        <v>408.43333333333334</v>
      </c>
      <c r="E15" s="31">
        <v>22.57107293270157</v>
      </c>
    </row>
    <row r="16" ht="15" customHeight="1">
      <c r="A16" s="29">
        <v>38</v>
      </c>
      <c r="B16" s="21">
        <v>261.43333333333334</v>
      </c>
      <c r="C16" s="21">
        <v>22.52428319244218</v>
      </c>
      <c r="D16" s="31">
        <v>339.43333333333334</v>
      </c>
      <c r="E16" s="31">
        <v>22.804677882691827</v>
      </c>
    </row>
    <row r="17" ht="15" customHeight="1">
      <c r="A17" s="29">
        <v>37</v>
      </c>
      <c r="B17" s="21">
        <v>339.03333333333336</v>
      </c>
      <c r="C17" s="21">
        <v>7.938723658960131</v>
      </c>
      <c r="D17" s="31">
        <v>395.9666666666667</v>
      </c>
      <c r="E17" s="31">
        <v>7.779674371934439</v>
      </c>
    </row>
    <row r="18" ht="15" customHeight="1">
      <c r="A18" s="29">
        <v>36</v>
      </c>
      <c r="B18" s="21">
        <v>263.3333333333333</v>
      </c>
      <c r="C18" s="21">
        <v>16.52946863433104</v>
      </c>
      <c r="D18" s="31">
        <v>573.4666666666667</v>
      </c>
      <c r="E18" s="31">
        <v>14.007973919640708</v>
      </c>
    </row>
    <row r="19" ht="15" customHeight="1">
      <c r="A19" s="29">
        <v>35</v>
      </c>
      <c r="B19" s="21">
        <v>145.26666666666668</v>
      </c>
      <c r="C19" s="21">
        <v>6.813467056743822</v>
      </c>
      <c r="D19" s="31">
        <v>195.1</v>
      </c>
      <c r="E19" s="31">
        <v>2.12837966537927</v>
      </c>
    </row>
    <row r="20" ht="15" customHeight="1">
      <c r="A20" s="29">
        <v>34</v>
      </c>
      <c r="B20" s="21">
        <v>153.46666666666667</v>
      </c>
      <c r="C20" s="21">
        <v>7.143061901827072</v>
      </c>
      <c r="D20" s="31">
        <v>239.6</v>
      </c>
      <c r="E20" s="31">
        <v>17.575835684256948</v>
      </c>
    </row>
    <row r="21" ht="15" customHeight="1">
      <c r="A21" s="29">
        <v>33</v>
      </c>
      <c r="B21" s="21">
        <v>174.03333333333333</v>
      </c>
      <c r="C21" s="21">
        <v>2.909180869821154</v>
      </c>
      <c r="D21" s="31">
        <v>240.26666666666665</v>
      </c>
      <c r="E21" s="31">
        <v>7.200231477760512</v>
      </c>
    </row>
    <row r="22" ht="15" customHeight="1">
      <c r="A22" s="29">
        <v>32</v>
      </c>
      <c r="B22" s="21">
        <v>129.3</v>
      </c>
      <c r="C22" s="21">
        <v>10.70560600806886</v>
      </c>
      <c r="D22" s="31">
        <v>229.5</v>
      </c>
      <c r="E22" s="31">
        <v>12.209832103677767</v>
      </c>
    </row>
    <row r="23" ht="15" customHeight="1">
      <c r="A23" s="29">
        <v>31</v>
      </c>
      <c r="B23" s="21">
        <v>97.12</v>
      </c>
      <c r="C23" s="21">
        <v>2.540944706206728</v>
      </c>
      <c r="D23" s="31">
        <v>172.0666666666667</v>
      </c>
      <c r="E23" s="31">
        <v>7.182153808805081</v>
      </c>
    </row>
    <row r="24" ht="15" customHeight="1">
      <c r="A24" s="29">
        <v>30</v>
      </c>
      <c r="B24" s="21">
        <v>422.5</v>
      </c>
      <c r="C24" s="21">
        <v>32.76232592475692</v>
      </c>
      <c r="D24" s="31">
        <v>264.09999999999997</v>
      </c>
      <c r="E24" s="31">
        <v>10.913752791776059</v>
      </c>
    </row>
    <row r="25" ht="15" customHeight="1">
      <c r="A25" s="29">
        <v>29</v>
      </c>
      <c r="B25" s="21">
        <v>199.70000000000002</v>
      </c>
      <c r="C25" s="21">
        <v>1.410673597966595</v>
      </c>
      <c r="D25" s="31">
        <v>180.63333333333335</v>
      </c>
      <c r="E25" s="31">
        <v>4.303874223688847</v>
      </c>
    </row>
    <row r="26" ht="15" customHeight="1">
      <c r="A26" s="29">
        <v>28</v>
      </c>
      <c r="B26" s="21">
        <v>163.29999999999998</v>
      </c>
      <c r="C26" s="21">
        <v>9.199456505685543</v>
      </c>
      <c r="D26" s="31">
        <v>229.20000000000002</v>
      </c>
      <c r="E26" s="31">
        <v>13.633781573723411</v>
      </c>
    </row>
    <row r="27" ht="15" customHeight="1">
      <c r="A27" s="29">
        <v>27</v>
      </c>
      <c r="B27" s="21">
        <v>181.26666666666665</v>
      </c>
      <c r="C27" s="21">
        <v>11.80945948523188</v>
      </c>
      <c r="D27" s="31">
        <v>196.26666666666665</v>
      </c>
      <c r="E27" s="31">
        <v>6.171169527191205</v>
      </c>
    </row>
    <row r="28" ht="15" customHeight="1">
      <c r="A28" s="29">
        <v>26</v>
      </c>
      <c r="B28" s="21">
        <v>312.3666666666666</v>
      </c>
      <c r="C28" s="21">
        <v>12.720980046102317</v>
      </c>
      <c r="D28" s="31">
        <v>270.93333333333334</v>
      </c>
      <c r="E28" s="31">
        <v>3.901709027251155</v>
      </c>
    </row>
    <row r="29" ht="15" customHeight="1">
      <c r="A29" s="29">
        <v>25</v>
      </c>
      <c r="B29" s="21">
        <v>9176.333333333334</v>
      </c>
      <c r="C29" s="21">
        <v>115.37041792995868</v>
      </c>
      <c r="D29" s="31">
        <v>6940</v>
      </c>
      <c r="E29" s="31">
        <v>379.5247027533254</v>
      </c>
    </row>
    <row r="30" ht="15" customHeight="1">
      <c r="A30" s="29">
        <v>24</v>
      </c>
      <c r="B30" s="21">
        <v>136.13333333333335</v>
      </c>
      <c r="C30" s="21">
        <v>6.2788003100380125</v>
      </c>
      <c r="D30" s="31">
        <v>5474.666666666667</v>
      </c>
      <c r="E30" s="31">
        <v>184.8089103191005</v>
      </c>
    </row>
    <row r="31" ht="15" customHeight="1">
      <c r="A31" s="29">
        <v>23</v>
      </c>
      <c r="B31" s="21">
        <v>969.7666666666668</v>
      </c>
      <c r="C31" s="21">
        <v>145.34463641061282</v>
      </c>
      <c r="D31" s="31">
        <v>142.96666666666667</v>
      </c>
      <c r="E31" s="31">
        <v>11.123099088533444</v>
      </c>
    </row>
    <row r="32" ht="15" customHeight="1">
      <c r="A32" s="29">
        <v>22</v>
      </c>
      <c r="B32" s="21">
        <v>333.8</v>
      </c>
      <c r="C32" s="21">
        <v>20.03971057675236</v>
      </c>
      <c r="D32" s="31">
        <v>222.63333333333335</v>
      </c>
      <c r="E32" s="31">
        <v>12.461674579820047</v>
      </c>
    </row>
    <row r="33" ht="15" customHeight="1">
      <c r="A33" s="33">
        <v>21</v>
      </c>
      <c r="B33" s="34">
        <v>169.6</v>
      </c>
      <c r="C33" s="34">
        <v>1.2529964086141658</v>
      </c>
      <c r="D33" s="31">
        <v>5760</v>
      </c>
      <c r="E33" s="31">
        <v>1354.320124638189</v>
      </c>
    </row>
    <row r="34" ht="15" customHeight="1">
      <c r="A34" s="29">
        <v>20</v>
      </c>
      <c r="B34" s="21">
        <v>374.26666666666665</v>
      </c>
      <c r="C34" s="21">
        <v>3.448671241700686</v>
      </c>
      <c r="D34" s="31">
        <v>575.1</v>
      </c>
      <c r="E34" s="31">
        <v>15.204933409916698</v>
      </c>
    </row>
    <row r="35" ht="15" customHeight="1">
      <c r="A35" s="29">
        <v>19</v>
      </c>
      <c r="B35" s="21">
        <v>4925.666666666667</v>
      </c>
      <c r="C35" s="21">
        <v>556.8135534748893</v>
      </c>
      <c r="D35" s="31">
        <v>880.6</v>
      </c>
      <c r="E35" s="31">
        <v>14.435719587190672</v>
      </c>
    </row>
    <row r="36" ht="15" customHeight="1">
      <c r="A36" s="29">
        <v>18</v>
      </c>
      <c r="B36" s="21">
        <v>336.43333333333334</v>
      </c>
      <c r="C36" s="21">
        <v>20.6679300689095</v>
      </c>
      <c r="D36" s="31">
        <v>652.8666666666667</v>
      </c>
      <c r="E36" s="31">
        <v>76.91191931900626</v>
      </c>
    </row>
    <row r="37" ht="15" customHeight="1">
      <c r="A37" s="29">
        <v>17</v>
      </c>
      <c r="B37" s="21">
        <v>3265.6666666666665</v>
      </c>
      <c r="C37" s="21">
        <v>1030.0360835103468</v>
      </c>
      <c r="D37" s="31">
        <v>590.1999999999999</v>
      </c>
      <c r="E37" s="31">
        <v>4.199999999999989</v>
      </c>
    </row>
    <row r="38" ht="15" customHeight="1">
      <c r="A38" s="29">
        <v>16</v>
      </c>
      <c r="B38" s="21">
        <v>312.76666666666665</v>
      </c>
      <c r="C38" s="21">
        <v>6.971609092120227</v>
      </c>
      <c r="D38" s="31">
        <v>449.8333333333333</v>
      </c>
      <c r="E38" s="31">
        <v>14.494596694400737</v>
      </c>
    </row>
    <row r="39" ht="15" customHeight="1">
      <c r="A39" s="29">
        <v>15</v>
      </c>
      <c r="B39" s="21">
        <v>256.5</v>
      </c>
      <c r="C39" s="21">
        <v>4.4977772288098175</v>
      </c>
      <c r="D39" s="31">
        <v>345.5</v>
      </c>
      <c r="E39" s="31">
        <v>20.611404610069645</v>
      </c>
    </row>
    <row r="40" ht="15" customHeight="1">
      <c r="A40" s="29">
        <v>14</v>
      </c>
      <c r="B40" s="21">
        <v>193.66666666666666</v>
      </c>
      <c r="C40" s="21">
        <v>1.0115993936995684</v>
      </c>
      <c r="D40" s="31">
        <v>240.46666666666667</v>
      </c>
      <c r="E40" s="31">
        <v>5.601190349678653</v>
      </c>
    </row>
    <row r="41" ht="15" customHeight="1">
      <c r="A41" s="29">
        <v>13</v>
      </c>
      <c r="B41" s="21">
        <v>216.70000000000002</v>
      </c>
      <c r="C41" s="21">
        <v>0.7937253933193751</v>
      </c>
      <c r="D41" s="31">
        <v>352.1333333333334</v>
      </c>
      <c r="E41" s="31">
        <v>1.778576209593881</v>
      </c>
    </row>
  </sheetData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1EAF17F-33CB-4AE5-BC65-865A2BAB3F6F}" mc:Ignorable="x14ac xr xr2 xr3">
  <dimension ref="A1:K202"/>
  <sheetViews>
    <sheetView topLeftCell="A1" zoomScale="85" workbookViewId="0">
      <selection activeCell="K27" sqref="K27"/>
    </sheetView>
  </sheetViews>
  <sheetFormatPr defaultRowHeight="15" defaultColWidth="9.140625" customHeight="1"/>
  <cols>
    <col min="1" max="1" style="12" width="24.140625" customWidth="1"/>
    <col min="2" max="2" style="12" width="38.28125" customWidth="1"/>
    <col min="3" max="3" style="12" width="18.57421875" customWidth="1"/>
    <col min="4" max="4" style="12" width="9.140625" customWidth="1"/>
  </cols>
  <sheetData>
    <row r="1" ht="15" customHeight="1">
      <c r="A1" s="37" t="s">
        <v>5</v>
      </c>
      <c r="B1" s="38" t="s">
        <v>50</v>
      </c>
      <c r="C1" s="39" t="s">
        <v>51</v>
      </c>
    </row>
    <row r="2" ht="15" customHeight="1">
      <c r="A2" s="40"/>
      <c r="B2" s="41" t="s">
        <v>52</v>
      </c>
      <c r="C2" s="42" t="s">
        <v>52</v>
      </c>
    </row>
    <row r="3" ht="15" customHeight="1">
      <c r="A3" s="9">
        <v>1</v>
      </c>
      <c r="B3" s="41">
        <v>21.76719195</v>
      </c>
      <c r="C3" s="42">
        <v>1.9380375000000003</v>
      </c>
    </row>
    <row r="4" ht="15" customHeight="1">
      <c r="A4" s="9">
        <v>2</v>
      </c>
      <c r="B4" s="41">
        <v>45.343799999999995</v>
      </c>
      <c r="C4" s="42">
        <v>4.276800000000001</v>
      </c>
    </row>
    <row r="5" ht="15" customHeight="1">
      <c r="A5" s="9">
        <v>3</v>
      </c>
      <c r="B5" s="41">
        <v>73.64700000000002</v>
      </c>
      <c r="C5" s="42">
        <v>6.3315</v>
      </c>
    </row>
    <row r="6" ht="15" customHeight="1">
      <c r="A6" s="9">
        <v>4</v>
      </c>
      <c r="B6" s="41">
        <v>32.688</v>
      </c>
      <c r="C6" s="42">
        <v>4.202999999999999</v>
      </c>
    </row>
    <row r="7" ht="15" customHeight="1">
      <c r="A7" s="9">
        <v>5</v>
      </c>
      <c r="B7" s="41">
        <v>42.27629999999999</v>
      </c>
      <c r="C7" s="42">
        <v>4.1124</v>
      </c>
    </row>
    <row r="8" ht="15" customHeight="1">
      <c r="A8" s="9">
        <v>6</v>
      </c>
      <c r="B8" s="41">
        <v>45.5949</v>
      </c>
      <c r="C8" s="42">
        <v>5.232600000000001</v>
      </c>
    </row>
    <row r="9" ht="15" customHeight="1">
      <c r="A9" s="9">
        <v>7</v>
      </c>
      <c r="B9" s="41">
        <v>38.1907</v>
      </c>
      <c r="C9" s="42">
        <v>3.7701</v>
      </c>
    </row>
    <row r="10" ht="15" customHeight="1">
      <c r="A10" s="9">
        <v>8</v>
      </c>
      <c r="B10" s="41">
        <v>39.0987</v>
      </c>
      <c r="C10" s="42">
        <v>4.07835</v>
      </c>
    </row>
    <row r="11" ht="15" customHeight="1">
      <c r="A11" s="9">
        <v>9</v>
      </c>
      <c r="B11" s="41">
        <v>63.58005</v>
      </c>
      <c r="C11" s="42">
        <v>5.014574999999999</v>
      </c>
    </row>
    <row r="12" ht="15" customHeight="1">
      <c r="A12" s="9">
        <v>10</v>
      </c>
      <c r="B12" s="41">
        <v>35.26199999999999</v>
      </c>
      <c r="C12" s="42">
        <v>2.6189999999999998</v>
      </c>
    </row>
    <row r="13" ht="15" customHeight="1">
      <c r="A13" s="9">
        <v>11</v>
      </c>
      <c r="B13" s="41">
        <v>24.900749999999995</v>
      </c>
      <c r="C13" s="42">
        <v>3.632475000000001</v>
      </c>
    </row>
    <row r="14" ht="15" customHeight="1">
      <c r="A14" s="9">
        <v>12</v>
      </c>
      <c r="B14" s="41">
        <v>31.45499999999999</v>
      </c>
      <c r="C14" s="42">
        <v>4.1137500000000005</v>
      </c>
    </row>
    <row r="15" ht="15" customHeight="1">
      <c r="A15" s="9">
        <v>40</v>
      </c>
      <c r="B15" s="41">
        <v>41.801249999999996</v>
      </c>
      <c r="C15" s="42">
        <v>3.0405750000000005</v>
      </c>
    </row>
    <row r="16" ht="15" customHeight="1">
      <c r="A16" s="9">
        <v>39</v>
      </c>
      <c r="B16" s="41">
        <v>39.483000000000004</v>
      </c>
      <c r="C16" s="42">
        <v>3.8758500000000002</v>
      </c>
    </row>
    <row r="17" ht="15" customHeight="1">
      <c r="A17" s="9">
        <v>38</v>
      </c>
      <c r="B17" s="41">
        <v>36.48375</v>
      </c>
      <c r="C17" s="42">
        <v>3.8925</v>
      </c>
    </row>
    <row r="18" ht="15" customHeight="1">
      <c r="A18" s="9">
        <v>37</v>
      </c>
      <c r="B18" s="41">
        <v>34.301625</v>
      </c>
      <c r="C18" s="42">
        <v>3.4738124999999997</v>
      </c>
    </row>
    <row r="19" ht="15" customHeight="1">
      <c r="A19" s="9">
        <v>36</v>
      </c>
      <c r="B19" s="41">
        <v>41.16165000000001</v>
      </c>
      <c r="C19" s="42">
        <v>3.4780875000000004</v>
      </c>
    </row>
    <row r="20" ht="15" customHeight="1">
      <c r="A20" s="9">
        <v>35</v>
      </c>
      <c r="B20" s="41">
        <v>30.038400000000003</v>
      </c>
      <c r="C20" s="42">
        <v>2.8999125</v>
      </c>
    </row>
    <row r="21" ht="15" customHeight="1">
      <c r="A21" s="9">
        <v>34</v>
      </c>
      <c r="B21" s="41">
        <v>22.705799999999996</v>
      </c>
      <c r="C21" s="42">
        <v>2.71215</v>
      </c>
    </row>
    <row r="22" ht="15" customHeight="1">
      <c r="A22" s="9">
        <v>33</v>
      </c>
      <c r="B22" s="41">
        <v>29.743200000000005</v>
      </c>
      <c r="C22" s="42">
        <v>3.3277500000000004</v>
      </c>
    </row>
    <row r="23" ht="15" customHeight="1">
      <c r="A23" s="9">
        <v>32</v>
      </c>
      <c r="B23" s="41">
        <v>24.657549999999997</v>
      </c>
      <c r="C23" s="42">
        <v>2.5363124999999997</v>
      </c>
    </row>
    <row r="24" ht="15" customHeight="1">
      <c r="A24" s="9">
        <v>31</v>
      </c>
      <c r="B24" s="41">
        <v>18.316200000000002</v>
      </c>
      <c r="C24" s="42">
        <v>2.382975</v>
      </c>
    </row>
    <row r="25" ht="15" customHeight="1">
      <c r="A25" s="9">
        <v>30</v>
      </c>
      <c r="B25" s="41">
        <v>14.666100000000002</v>
      </c>
      <c r="C25" s="42">
        <v>1.8675</v>
      </c>
    </row>
    <row r="26" ht="15" customHeight="1">
      <c r="A26" s="9">
        <v>29</v>
      </c>
      <c r="B26" s="41">
        <v>15.835299999999998</v>
      </c>
      <c r="C26" s="42">
        <v>1.7998499999999997</v>
      </c>
    </row>
    <row r="27" ht="15" customHeight="1">
      <c r="A27" s="9">
        <v>28</v>
      </c>
      <c r="B27" s="41">
        <v>16.191999999999997</v>
      </c>
      <c r="C27" s="42">
        <v>1.3662000000000003</v>
      </c>
    </row>
    <row r="28" ht="15" customHeight="1" s="12" customFormat="1">
      <c r="A28" s="9">
        <v>27</v>
      </c>
      <c r="B28" s="41">
        <v>13.883999999999997</v>
      </c>
      <c r="C28" s="42">
        <v>1.528575</v>
      </c>
      <c r="D28" s="35"/>
    </row>
    <row r="29" ht="15" customHeight="1">
      <c r="A29" s="9">
        <v>26</v>
      </c>
      <c r="B29" s="41">
        <v>15.0849</v>
      </c>
      <c r="C29" s="42">
        <v>1.7100750000000005</v>
      </c>
    </row>
    <row r="30" ht="15" customHeight="1">
      <c r="A30" s="9">
        <v>25</v>
      </c>
      <c r="B30" s="41">
        <v>8.9775</v>
      </c>
      <c r="C30" s="42">
        <v>1.197</v>
      </c>
    </row>
    <row r="31" ht="15" customHeight="1">
      <c r="A31" s="9">
        <v>24</v>
      </c>
      <c r="B31" s="41">
        <v>12.282000000000002</v>
      </c>
      <c r="C31" s="42">
        <v>1.3800000000000001</v>
      </c>
    </row>
    <row r="32" ht="15" customHeight="1">
      <c r="A32" s="9">
        <v>23</v>
      </c>
      <c r="B32" s="41">
        <v>9.677249999999999</v>
      </c>
      <c r="C32" s="42">
        <v>1.2495</v>
      </c>
    </row>
    <row r="33" ht="15" customHeight="1">
      <c r="A33" s="9">
        <v>22</v>
      </c>
      <c r="B33" s="41">
        <v>20.500275000000002</v>
      </c>
      <c r="C33" s="42">
        <v>2.1253875</v>
      </c>
    </row>
    <row r="34" ht="15" customHeight="1">
      <c r="A34" s="9">
        <v>21</v>
      </c>
      <c r="B34" s="41">
        <v>19.3158</v>
      </c>
      <c r="C34" s="42">
        <v>1.7954999999999999</v>
      </c>
    </row>
    <row r="35" ht="15" customHeight="1">
      <c r="A35" s="9">
        <v>20</v>
      </c>
      <c r="B35" s="41">
        <v>22.891199999999998</v>
      </c>
      <c r="C35" s="42">
        <v>2.5821</v>
      </c>
    </row>
    <row r="36" ht="15" customHeight="1">
      <c r="A36" s="9">
        <v>19</v>
      </c>
      <c r="B36" s="41">
        <v>39.0285</v>
      </c>
      <c r="C36" s="42">
        <v>3.5626499999999997</v>
      </c>
    </row>
    <row r="37" ht="15" customHeight="1">
      <c r="A37" s="9">
        <v>18</v>
      </c>
      <c r="B37" s="41">
        <v>10.881224999999999</v>
      </c>
      <c r="C37" s="42">
        <v>3.3856124999999997</v>
      </c>
    </row>
    <row r="38" ht="15" customHeight="1">
      <c r="A38" s="9">
        <v>17</v>
      </c>
      <c r="B38" s="41">
        <v>45.265200000000014</v>
      </c>
      <c r="C38" s="42">
        <v>3.9647250000000005</v>
      </c>
    </row>
    <row r="39" ht="15" customHeight="1">
      <c r="A39" s="9">
        <v>16</v>
      </c>
      <c r="B39" s="41">
        <v>35.002125</v>
      </c>
      <c r="C39" s="42">
        <v>3.6703125000000005</v>
      </c>
    </row>
    <row r="40" ht="15" customHeight="1">
      <c r="A40" s="9">
        <v>15</v>
      </c>
      <c r="B40" s="41">
        <v>26.611199999999997</v>
      </c>
      <c r="C40" s="42">
        <v>3.2184000000000004</v>
      </c>
    </row>
    <row r="41" ht="15" customHeight="1">
      <c r="A41" s="9">
        <v>14</v>
      </c>
      <c r="B41" s="41">
        <v>18.600975</v>
      </c>
      <c r="C41" s="42">
        <v>2.4728625</v>
      </c>
    </row>
    <row r="42" ht="15" customHeight="1">
      <c r="A42" s="9">
        <v>13</v>
      </c>
      <c r="B42" s="41">
        <v>25.192125000000004</v>
      </c>
      <c r="C42" s="42">
        <v>2.9161125</v>
      </c>
    </row>
  </sheetData>
  <mergeCells>
    <mergeCell ref="A1:A2"/>
  </mergeCells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drawing r:id="rId1"/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F97930C-80DE-460E-9C68-AE33F0E8EB9D}" mc:Ignorable="x14ac xr xr2 xr3">
  <sheetPr>
    <pageSetUpPr fitToPage="1"/>
  </sheetPr>
  <dimension ref="A1:M41"/>
  <sheetViews>
    <sheetView topLeftCell="A14" workbookViewId="0" tabSelected="1">
      <pane xSplit="1" topLeftCell="C1" activePane="topRight" state="frozen"/>
      <selection pane="topRight" activeCell="C13" sqref="C13"/>
    </sheetView>
  </sheetViews>
  <sheetFormatPr defaultRowHeight="15" defaultColWidth="9.140625" customHeight="1"/>
  <cols>
    <col min="1" max="1" style="52" width="9.57421875" customWidth="1"/>
    <col min="2" max="2" style="52" width="19.421875" customWidth="1"/>
    <col min="3" max="3" style="52" width="40.7109375" customWidth="1"/>
    <col min="4" max="4" style="52" width="13.7109375" customWidth="1"/>
    <col min="5" max="5" style="52" width="12.00390625" customWidth="1"/>
    <col min="6" max="6" style="52" width="20.8515625" customWidth="1"/>
    <col min="7" max="7" style="52" width="17.421875" customWidth="1"/>
    <col min="8" max="8" style="52" width="16.00390625" customWidth="1"/>
    <col min="9" max="9" style="52" width="13.140625" customWidth="1"/>
    <col min="10" max="10" style="52" width="12.00390625" customWidth="1"/>
    <col min="11" max="11" style="52" width="16.00390625" customWidth="1"/>
    <col min="12" max="12" style="52" width="12.28125" customWidth="1"/>
    <col min="13" max="13" style="52" width="9.140625" customWidth="1"/>
  </cols>
  <sheetData>
    <row r="1" ht="38.25" customHeight="1">
      <c r="A1" s="43" t="s">
        <v>53</v>
      </c>
      <c r="B1" s="44" t="s">
        <v>54</v>
      </c>
      <c r="C1" s="44" t="s">
        <v>55</v>
      </c>
      <c r="D1" s="44" t="s">
        <v>56</v>
      </c>
      <c r="E1" s="44" t="s">
        <v>57</v>
      </c>
      <c r="F1" s="44" t="s">
        <v>58</v>
      </c>
      <c r="G1" s="44" t="s">
        <v>59</v>
      </c>
      <c r="H1" s="44" t="s">
        <v>60</v>
      </c>
      <c r="I1" s="44" t="s">
        <v>61</v>
      </c>
      <c r="J1" s="44" t="s">
        <v>62</v>
      </c>
      <c r="K1" s="45" t="s">
        <v>63</v>
      </c>
      <c r="L1" s="45" t="s">
        <v>64</v>
      </c>
    </row>
    <row r="2" ht="15" customHeight="1">
      <c r="A2" s="46">
        <v>1</v>
      </c>
      <c r="B2" s="47" t="s">
        <v>65</v>
      </c>
      <c r="C2" s="47" t="s">
        <v>66</v>
      </c>
      <c r="D2" s="47" t="s">
        <v>67</v>
      </c>
      <c r="E2" s="47">
        <v>94.133</v>
      </c>
      <c r="F2" s="47" t="s">
        <v>68</v>
      </c>
      <c r="G2" s="47" t="s">
        <v>69</v>
      </c>
      <c r="H2" s="47" t="s">
        <v>70</v>
      </c>
      <c r="I2" s="48">
        <v>69.10011202</v>
      </c>
      <c r="J2" s="48">
        <v>54.89328302</v>
      </c>
      <c r="K2" s="49">
        <v>357.5365217391304</v>
      </c>
      <c r="L2" s="50">
        <v>1.5558695652173893</v>
      </c>
      <c r="M2" s="51"/>
    </row>
    <row r="3" ht="15" customHeight="1">
      <c r="A3" s="46">
        <v>2</v>
      </c>
      <c r="B3" s="47" t="s">
        <v>71</v>
      </c>
      <c r="C3" s="47" t="s">
        <v>72</v>
      </c>
      <c r="D3" s="47" t="s">
        <v>73</v>
      </c>
      <c r="E3" s="47">
        <v>108.423</v>
      </c>
      <c r="F3" s="47" t="s">
        <v>74</v>
      </c>
      <c r="G3" s="47" t="s">
        <v>75</v>
      </c>
      <c r="H3" s="47" t="s">
        <v>70</v>
      </c>
      <c r="I3" s="48">
        <v>69.0990969725</v>
      </c>
      <c r="J3" s="48">
        <v>54.7481480241</v>
      </c>
      <c r="K3" s="49">
        <v>357.5365217391304</v>
      </c>
      <c r="L3" s="50">
        <v>1.5558695652173893</v>
      </c>
      <c r="M3" s="51"/>
    </row>
    <row r="4" ht="15" customHeight="1">
      <c r="A4" s="46">
        <v>3</v>
      </c>
      <c r="B4" s="47" t="s">
        <v>76</v>
      </c>
      <c r="C4" s="47" t="s">
        <v>77</v>
      </c>
      <c r="D4" s="47" t="s">
        <v>78</v>
      </c>
      <c r="E4" s="47">
        <v>139.003</v>
      </c>
      <c r="F4" s="47" t="s">
        <v>79</v>
      </c>
      <c r="G4" s="47" t="s">
        <v>80</v>
      </c>
      <c r="H4" s="47" t="s">
        <v>70</v>
      </c>
      <c r="I4" s="48">
        <v>69.193820022</v>
      </c>
      <c r="J4" s="48">
        <v>54.5429850183</v>
      </c>
      <c r="K4" s="49">
        <v>357.5365217391304</v>
      </c>
      <c r="L4" s="50">
        <v>1.5558695652173893</v>
      </c>
      <c r="M4" s="51"/>
    </row>
    <row r="5" ht="15" customHeight="1">
      <c r="A5" s="46">
        <v>4</v>
      </c>
      <c r="B5" s="47" t="s">
        <v>81</v>
      </c>
      <c r="C5" s="47" t="s">
        <v>72</v>
      </c>
      <c r="D5" s="47" t="s">
        <v>82</v>
      </c>
      <c r="E5" s="47">
        <v>127.015</v>
      </c>
      <c r="F5" s="47" t="s">
        <v>74</v>
      </c>
      <c r="G5" s="47" t="s">
        <v>75</v>
      </c>
      <c r="H5" s="47" t="s">
        <v>70</v>
      </c>
      <c r="I5" s="48">
        <v>69.1581530124</v>
      </c>
      <c r="J5" s="48">
        <v>54.2703310121</v>
      </c>
      <c r="K5" s="49">
        <v>346.1130434782609</v>
      </c>
      <c r="L5" s="50">
        <v>1.7744927536231878</v>
      </c>
      <c r="M5" s="51"/>
    </row>
    <row r="6" ht="15" customHeight="1">
      <c r="A6" s="46">
        <v>5</v>
      </c>
      <c r="B6" s="47" t="s">
        <v>83</v>
      </c>
      <c r="C6" s="47" t="s">
        <v>84</v>
      </c>
      <c r="D6" s="47" t="s">
        <v>82</v>
      </c>
      <c r="E6" s="47">
        <v>127.865</v>
      </c>
      <c r="F6" s="47" t="s">
        <v>74</v>
      </c>
      <c r="G6" s="47" t="s">
        <v>75</v>
      </c>
      <c r="H6" s="47" t="s">
        <v>70</v>
      </c>
      <c r="I6" s="48">
        <v>69.1613340285</v>
      </c>
      <c r="J6" s="48">
        <v>54.0181610361</v>
      </c>
      <c r="K6" s="49">
        <v>346.1130434782609</v>
      </c>
      <c r="L6" s="50">
        <v>1.7744927536231878</v>
      </c>
      <c r="M6" s="51"/>
    </row>
    <row r="7" ht="15" customHeight="1">
      <c r="A7" s="46">
        <v>6</v>
      </c>
      <c r="B7" s="47" t="s">
        <v>85</v>
      </c>
      <c r="C7" s="47" t="s">
        <v>84</v>
      </c>
      <c r="D7" s="47" t="s">
        <v>82</v>
      </c>
      <c r="E7" s="47">
        <v>188.194</v>
      </c>
      <c r="F7" s="47" t="s">
        <v>74</v>
      </c>
      <c r="G7" s="47" t="s">
        <v>75</v>
      </c>
      <c r="H7" s="47" t="s">
        <v>70</v>
      </c>
      <c r="I7" s="48">
        <v>69.4388279971</v>
      </c>
      <c r="J7" s="48">
        <v>53.6589269992</v>
      </c>
      <c r="K7" s="49">
        <v>332.2260869565216</v>
      </c>
      <c r="L7" s="50">
        <v>1.6171014492753626</v>
      </c>
      <c r="M7" s="51"/>
    </row>
    <row r="8" ht="15" customHeight="1">
      <c r="A8" s="46">
        <v>7</v>
      </c>
      <c r="B8" s="47" t="s">
        <v>86</v>
      </c>
      <c r="C8" s="47" t="s">
        <v>87</v>
      </c>
      <c r="D8" s="47" t="s">
        <v>67</v>
      </c>
      <c r="E8" s="47">
        <v>250.348</v>
      </c>
      <c r="F8" s="47" t="s">
        <v>68</v>
      </c>
      <c r="G8" s="47" t="s">
        <v>75</v>
      </c>
      <c r="H8" s="47" t="s">
        <v>70</v>
      </c>
      <c r="I8" s="48">
        <v>69.4723530114</v>
      </c>
      <c r="J8" s="48">
        <v>53.2594230305</v>
      </c>
      <c r="K8" s="49">
        <v>323.71565217391304</v>
      </c>
      <c r="L8" s="50">
        <v>1.3937681159420279</v>
      </c>
      <c r="M8" s="51"/>
    </row>
    <row r="9" ht="15" customHeight="1">
      <c r="A9" s="46">
        <v>8</v>
      </c>
      <c r="B9" s="47" t="s">
        <v>88</v>
      </c>
      <c r="C9" s="47" t="s">
        <v>87</v>
      </c>
      <c r="D9" s="47" t="s">
        <v>82</v>
      </c>
      <c r="E9" s="47">
        <v>327.493</v>
      </c>
      <c r="F9" s="47" t="s">
        <v>74</v>
      </c>
      <c r="G9" s="47" t="s">
        <v>75</v>
      </c>
      <c r="H9" s="47" t="s">
        <v>70</v>
      </c>
      <c r="I9" s="48">
        <v>69.8902260046</v>
      </c>
      <c r="J9" s="48">
        <v>53.1068569701</v>
      </c>
      <c r="K9" s="49">
        <v>324.95130434782607</v>
      </c>
      <c r="L9" s="50">
        <v>1.4015217391304355</v>
      </c>
      <c r="M9" s="51"/>
    </row>
    <row r="10" ht="15" customHeight="1">
      <c r="A10" s="46">
        <v>9</v>
      </c>
      <c r="B10" s="47" t="s">
        <v>89</v>
      </c>
      <c r="C10" s="47" t="s">
        <v>87</v>
      </c>
      <c r="D10" s="47" t="s">
        <v>73</v>
      </c>
      <c r="E10" s="47">
        <v>407.036</v>
      </c>
      <c r="F10" s="47" t="s">
        <v>74</v>
      </c>
      <c r="G10" s="47" t="s">
        <v>75</v>
      </c>
      <c r="H10" s="47" t="s">
        <v>70</v>
      </c>
      <c r="I10" s="48">
        <v>70.2038380131</v>
      </c>
      <c r="J10" s="48">
        <v>52.8430580255</v>
      </c>
      <c r="K10" s="49">
        <v>328.1321739130434</v>
      </c>
      <c r="L10" s="50">
        <v>1.213913043478261</v>
      </c>
      <c r="M10" s="51"/>
    </row>
    <row r="11" ht="15" customHeight="1">
      <c r="A11" s="46">
        <v>10</v>
      </c>
      <c r="B11" s="47" t="s">
        <v>90</v>
      </c>
      <c r="C11" s="47" t="s">
        <v>91</v>
      </c>
      <c r="D11" s="47" t="s">
        <v>78</v>
      </c>
      <c r="E11" s="47">
        <v>416.058</v>
      </c>
      <c r="F11" s="47" t="s">
        <v>92</v>
      </c>
      <c r="G11" s="47" t="s">
        <v>93</v>
      </c>
      <c r="H11" s="47" t="s">
        <v>70</v>
      </c>
      <c r="I11" s="48">
        <v>70.5614609644</v>
      </c>
      <c r="J11" s="48">
        <v>52.5971349981</v>
      </c>
      <c r="K11" s="49">
        <v>329.8582608695652</v>
      </c>
      <c r="L11" s="50">
        <v>1.42536231884058</v>
      </c>
      <c r="M11" s="51"/>
    </row>
    <row r="12" ht="15" customHeight="1">
      <c r="A12" s="46">
        <v>11</v>
      </c>
      <c r="B12" s="47" t="s">
        <v>94</v>
      </c>
      <c r="C12" s="47" t="s">
        <v>87</v>
      </c>
      <c r="D12" s="47" t="s">
        <v>67</v>
      </c>
      <c r="E12" s="47">
        <v>384.35</v>
      </c>
      <c r="F12" s="47" t="s">
        <v>74</v>
      </c>
      <c r="G12" s="47" t="s">
        <v>75</v>
      </c>
      <c r="H12" s="47" t="s">
        <v>70</v>
      </c>
      <c r="I12" s="48">
        <v>70.9449910372</v>
      </c>
      <c r="J12" s="48">
        <v>52.1775570419</v>
      </c>
      <c r="K12" s="49">
        <v>324.7660869565217</v>
      </c>
      <c r="L12" s="50">
        <v>1.904927536231885</v>
      </c>
      <c r="M12" s="51"/>
    </row>
    <row r="13" ht="15" customHeight="1">
      <c r="A13" s="46">
        <v>12</v>
      </c>
      <c r="B13" s="47" t="s">
        <v>95</v>
      </c>
      <c r="C13" s="47" t="s">
        <v>87</v>
      </c>
      <c r="D13" s="47" t="s">
        <v>82</v>
      </c>
      <c r="E13" s="47">
        <v>407.792</v>
      </c>
      <c r="F13" s="47" t="s">
        <v>74</v>
      </c>
      <c r="G13" s="47" t="s">
        <v>75</v>
      </c>
      <c r="H13" s="47" t="s">
        <v>96</v>
      </c>
      <c r="I13" s="48">
        <v>71.1892660148</v>
      </c>
      <c r="J13" s="48">
        <v>51.5023870301</v>
      </c>
      <c r="K13" s="49">
        <v>320.09130434782605</v>
      </c>
      <c r="L13" s="50">
        <v>2.1377536231884036</v>
      </c>
      <c r="M13" s="51"/>
    </row>
    <row r="14" ht="15" customHeight="1">
      <c r="A14" s="46">
        <v>40</v>
      </c>
      <c r="B14" s="47" t="s">
        <v>97</v>
      </c>
      <c r="C14" s="47" t="s">
        <v>87</v>
      </c>
      <c r="D14" s="47" t="s">
        <v>82</v>
      </c>
      <c r="E14" s="47">
        <v>363.714</v>
      </c>
      <c r="F14" s="47" t="s">
        <v>74</v>
      </c>
      <c r="G14" s="47" t="s">
        <v>75</v>
      </c>
      <c r="H14" s="47" t="s">
        <v>96</v>
      </c>
      <c r="I14" s="48">
        <v>71.6382310074</v>
      </c>
      <c r="J14" s="48">
        <v>51.1242069583</v>
      </c>
      <c r="K14" s="49">
        <v>319.61391304347825</v>
      </c>
      <c r="L14" s="50">
        <v>2.6685507246376794</v>
      </c>
      <c r="M14" s="51"/>
    </row>
    <row r="15" ht="15" customHeight="1">
      <c r="A15" s="46">
        <v>39</v>
      </c>
      <c r="B15" s="47" t="s">
        <v>98</v>
      </c>
      <c r="C15" s="47" t="s">
        <v>99</v>
      </c>
      <c r="D15" s="47" t="s">
        <v>82</v>
      </c>
      <c r="E15" s="47">
        <v>389</v>
      </c>
      <c r="F15" s="47" t="s">
        <v>68</v>
      </c>
      <c r="G15" s="47" t="s">
        <v>100</v>
      </c>
      <c r="H15" s="47" t="s">
        <v>96</v>
      </c>
      <c r="I15" s="48">
        <v>71.9463800266</v>
      </c>
      <c r="J15" s="48">
        <v>50.9737079591</v>
      </c>
      <c r="K15" s="49">
        <v>311.0017391304347</v>
      </c>
      <c r="L15" s="50">
        <v>2.7411594202898537</v>
      </c>
      <c r="M15" s="51"/>
    </row>
    <row r="16" ht="15" customHeight="1">
      <c r="A16" s="46">
        <v>38</v>
      </c>
      <c r="B16" s="47" t="s">
        <v>101</v>
      </c>
      <c r="C16" s="47" t="s">
        <v>72</v>
      </c>
      <c r="D16" s="47" t="s">
        <v>73</v>
      </c>
      <c r="E16" s="47">
        <v>445.994</v>
      </c>
      <c r="F16" s="47" t="s">
        <v>74</v>
      </c>
      <c r="G16" s="47" t="s">
        <v>75</v>
      </c>
      <c r="H16" s="47" t="s">
        <v>96</v>
      </c>
      <c r="I16" s="48">
        <v>72.4297229759</v>
      </c>
      <c r="J16" s="48">
        <v>50.6459890399</v>
      </c>
      <c r="K16" s="49">
        <v>322.3095652173913</v>
      </c>
      <c r="L16" s="50">
        <v>2.394710144927537</v>
      </c>
      <c r="M16" s="51"/>
    </row>
    <row r="17" ht="15" customHeight="1">
      <c r="A17" s="46">
        <v>37</v>
      </c>
      <c r="B17" s="47" t="s">
        <v>102</v>
      </c>
      <c r="C17" s="47" t="s">
        <v>72</v>
      </c>
      <c r="D17" s="47" t="s">
        <v>73</v>
      </c>
      <c r="E17" s="47">
        <v>555.023</v>
      </c>
      <c r="F17" s="47" t="s">
        <v>74</v>
      </c>
      <c r="G17" s="47" t="s">
        <v>75</v>
      </c>
      <c r="H17" s="47" t="s">
        <v>96</v>
      </c>
      <c r="I17" s="48">
        <v>72.7697229758</v>
      </c>
      <c r="J17" s="48">
        <v>50.2963719796</v>
      </c>
      <c r="K17" s="49">
        <v>314.7434782608696</v>
      </c>
      <c r="L17" s="50">
        <v>2.6939855072463756</v>
      </c>
      <c r="M17" s="51"/>
    </row>
    <row r="18" ht="15" customHeight="1">
      <c r="A18" s="46">
        <v>36</v>
      </c>
      <c r="B18" s="47" t="s">
        <v>103</v>
      </c>
      <c r="C18" s="47" t="s">
        <v>72</v>
      </c>
      <c r="D18" s="47" t="s">
        <v>82</v>
      </c>
      <c r="E18" s="47">
        <v>563</v>
      </c>
      <c r="F18" s="47" t="s">
        <v>74</v>
      </c>
      <c r="G18" s="47" t="s">
        <v>75</v>
      </c>
      <c r="H18" s="47" t="s">
        <v>96</v>
      </c>
      <c r="I18" s="48">
        <v>73.0359840207</v>
      </c>
      <c r="J18" s="48">
        <v>49.9588400312</v>
      </c>
      <c r="K18" s="49">
        <v>309.1669565217391</v>
      </c>
      <c r="L18" s="50">
        <v>2.9454347826086917</v>
      </c>
      <c r="M18" s="51"/>
    </row>
    <row r="19" ht="15" customHeight="1">
      <c r="A19" s="46">
        <v>35</v>
      </c>
      <c r="B19" s="47" t="s">
        <v>104</v>
      </c>
      <c r="C19" s="47" t="s">
        <v>105</v>
      </c>
      <c r="D19" s="47" t="s">
        <v>82</v>
      </c>
      <c r="E19" s="47">
        <v>659.52</v>
      </c>
      <c r="F19" s="47" t="s">
        <v>74</v>
      </c>
      <c r="G19" s="47" t="s">
        <v>75</v>
      </c>
      <c r="H19" s="47" t="s">
        <v>106</v>
      </c>
      <c r="I19" s="48">
        <v>73.4302000143</v>
      </c>
      <c r="J19" s="48">
        <v>49.2811479885</v>
      </c>
      <c r="K19" s="49">
        <v>292.7008695652174</v>
      </c>
      <c r="L19" s="50">
        <v>2.5162318840579734</v>
      </c>
      <c r="M19" s="51"/>
    </row>
    <row r="20" ht="15" customHeight="1">
      <c r="A20" s="46">
        <v>34</v>
      </c>
      <c r="B20" s="47" t="s">
        <v>107</v>
      </c>
      <c r="C20" s="47" t="s">
        <v>108</v>
      </c>
      <c r="D20" s="47" t="s">
        <v>67</v>
      </c>
      <c r="E20" s="47">
        <v>729.876</v>
      </c>
      <c r="F20" s="47" t="s">
        <v>74</v>
      </c>
      <c r="G20" s="47" t="s">
        <v>75</v>
      </c>
      <c r="H20" s="47" t="s">
        <v>106</v>
      </c>
      <c r="I20" s="48">
        <v>73.6725950148</v>
      </c>
      <c r="J20" s="48">
        <v>48.8766289596</v>
      </c>
      <c r="K20" s="49">
        <v>267.6408695652174</v>
      </c>
      <c r="L20" s="50">
        <v>2.415507246376811</v>
      </c>
      <c r="M20" s="51"/>
    </row>
    <row r="21" ht="15" customHeight="1">
      <c r="A21" s="46">
        <v>33</v>
      </c>
      <c r="B21" s="47" t="s">
        <v>109</v>
      </c>
      <c r="C21" s="47" t="s">
        <v>110</v>
      </c>
      <c r="D21" s="47" t="s">
        <v>67</v>
      </c>
      <c r="E21" s="47">
        <v>817.191</v>
      </c>
      <c r="F21" s="47" t="s">
        <v>74</v>
      </c>
      <c r="G21" s="47" t="s">
        <v>75</v>
      </c>
      <c r="H21" s="47" t="s">
        <v>106</v>
      </c>
      <c r="I21" s="48">
        <v>73.7274639588</v>
      </c>
      <c r="J21" s="48">
        <v>48.4393970389</v>
      </c>
      <c r="K21" s="49">
        <v>247.05478260869563</v>
      </c>
      <c r="L21" s="50">
        <v>2.886231884057971</v>
      </c>
      <c r="M21" s="51"/>
    </row>
    <row r="22" ht="15" customHeight="1">
      <c r="A22" s="46">
        <v>32</v>
      </c>
      <c r="B22" s="47" t="s">
        <v>111</v>
      </c>
      <c r="C22" s="47" t="s">
        <v>112</v>
      </c>
      <c r="D22" s="47" t="s">
        <v>82</v>
      </c>
      <c r="E22" s="47">
        <v>724.869</v>
      </c>
      <c r="F22" s="47" t="s">
        <v>74</v>
      </c>
      <c r="G22" s="47" t="s">
        <v>75</v>
      </c>
      <c r="H22" s="47" t="s">
        <v>113</v>
      </c>
      <c r="I22" s="48">
        <v>73.9135779999</v>
      </c>
      <c r="J22" s="48">
        <v>48.0380669888</v>
      </c>
      <c r="K22" s="49">
        <v>247.05478260869563</v>
      </c>
      <c r="L22" s="50">
        <v>2.886231884057971</v>
      </c>
      <c r="M22" s="51"/>
    </row>
    <row r="23" ht="15" customHeight="1">
      <c r="A23" s="46">
        <v>31</v>
      </c>
      <c r="B23" s="47" t="s">
        <v>114</v>
      </c>
      <c r="C23" s="47" t="s">
        <v>115</v>
      </c>
      <c r="D23" s="47" t="s">
        <v>82</v>
      </c>
      <c r="E23" s="47">
        <v>614.742</v>
      </c>
      <c r="F23" s="47" t="s">
        <v>74</v>
      </c>
      <c r="G23" s="47" t="s">
        <v>75</v>
      </c>
      <c r="H23" s="47" t="s">
        <v>113</v>
      </c>
      <c r="I23" s="48">
        <v>74.325937964</v>
      </c>
      <c r="J23" s="48">
        <v>47.6743130106</v>
      </c>
      <c r="K23" s="49">
        <v>208.15304347826086</v>
      </c>
      <c r="L23" s="50">
        <v>4.2858695652173875</v>
      </c>
      <c r="M23" s="51"/>
    </row>
    <row r="24" ht="15" customHeight="1">
      <c r="A24" s="46">
        <v>30</v>
      </c>
      <c r="B24" s="47" t="s">
        <v>116</v>
      </c>
      <c r="C24" s="47" t="s">
        <v>117</v>
      </c>
      <c r="D24" s="47" t="s">
        <v>82</v>
      </c>
      <c r="E24" s="47">
        <v>597.409</v>
      </c>
      <c r="F24" s="47" t="s">
        <v>118</v>
      </c>
      <c r="G24" s="47" t="s">
        <v>119</v>
      </c>
      <c r="H24" s="47" t="s">
        <v>120</v>
      </c>
      <c r="I24" s="48">
        <v>74.7245790157</v>
      </c>
      <c r="J24" s="48">
        <v>47.354803998</v>
      </c>
      <c r="K24" s="49">
        <v>197.0052173913044</v>
      </c>
      <c r="L24" s="50">
        <v>4.922608695652166</v>
      </c>
      <c r="M24" s="51"/>
    </row>
    <row r="25" ht="15" customHeight="1">
      <c r="A25" s="46">
        <v>29</v>
      </c>
      <c r="B25" s="47" t="s">
        <v>121</v>
      </c>
      <c r="C25" s="47" t="s">
        <v>122</v>
      </c>
      <c r="D25" s="47" t="s">
        <v>123</v>
      </c>
      <c r="E25" s="47">
        <v>417.689</v>
      </c>
      <c r="F25" s="47" t="s">
        <v>118</v>
      </c>
      <c r="G25" s="47" t="s">
        <v>124</v>
      </c>
      <c r="H25" s="47" t="s">
        <v>120</v>
      </c>
      <c r="I25" s="48">
        <v>74.9498590082</v>
      </c>
      <c r="J25" s="48">
        <v>46.9383720215</v>
      </c>
      <c r="K25" s="49">
        <v>177.61391304347822</v>
      </c>
      <c r="L25" s="50">
        <v>6.599130434782608</v>
      </c>
      <c r="M25" s="51"/>
    </row>
    <row r="26" ht="15" customHeight="1">
      <c r="A26" s="46">
        <v>28</v>
      </c>
      <c r="B26" s="47" t="s">
        <v>125</v>
      </c>
      <c r="C26" s="47" t="s">
        <v>126</v>
      </c>
      <c r="D26" s="47" t="s">
        <v>123</v>
      </c>
      <c r="E26" s="47">
        <v>373</v>
      </c>
      <c r="F26" s="47" t="s">
        <v>118</v>
      </c>
      <c r="G26" s="47" t="s">
        <v>124</v>
      </c>
      <c r="H26" s="47" t="s">
        <v>120</v>
      </c>
      <c r="I26" s="48">
        <v>74.5461220108</v>
      </c>
      <c r="J26" s="48">
        <v>46.7488310393</v>
      </c>
      <c r="K26" s="49">
        <v>177.61391304347822</v>
      </c>
      <c r="L26" s="50">
        <v>6.599130434782608</v>
      </c>
      <c r="M26" s="51"/>
    </row>
    <row r="27" ht="15" customHeight="1">
      <c r="A27" s="46">
        <v>27</v>
      </c>
      <c r="B27" s="47" t="s">
        <v>127</v>
      </c>
      <c r="C27" s="47" t="s">
        <v>128</v>
      </c>
      <c r="D27" s="47" t="s">
        <v>123</v>
      </c>
      <c r="E27" s="47">
        <v>349.686</v>
      </c>
      <c r="F27" s="47" t="s">
        <v>118</v>
      </c>
      <c r="G27" s="47" t="s">
        <v>124</v>
      </c>
      <c r="H27" s="47" t="s">
        <v>113</v>
      </c>
      <c r="I27" s="48">
        <v>74.1808290314</v>
      </c>
      <c r="J27" s="48">
        <v>46.5502329916</v>
      </c>
      <c r="K27" s="49">
        <v>175.5078260869565</v>
      </c>
      <c r="L27" s="50">
        <v>6.571739130434789</v>
      </c>
      <c r="M27" s="51"/>
    </row>
    <row r="28" ht="15" customHeight="1">
      <c r="A28" s="46">
        <v>26</v>
      </c>
      <c r="B28" s="47" t="s">
        <v>129</v>
      </c>
      <c r="C28" s="47" t="s">
        <v>130</v>
      </c>
      <c r="D28" s="47" t="s">
        <v>123</v>
      </c>
      <c r="E28" s="47">
        <v>344.272</v>
      </c>
      <c r="F28" s="47" t="s">
        <v>118</v>
      </c>
      <c r="G28" s="47" t="s">
        <v>124</v>
      </c>
      <c r="H28" s="47" t="s">
        <v>131</v>
      </c>
      <c r="I28" s="48">
        <v>73.6841359735</v>
      </c>
      <c r="J28" s="48">
        <v>46.2545839883</v>
      </c>
      <c r="K28" s="49">
        <v>168.09391304347827</v>
      </c>
      <c r="L28" s="50">
        <v>7.470072463768111</v>
      </c>
      <c r="M28" s="51"/>
    </row>
    <row r="29" ht="15" customHeight="1">
      <c r="A29" s="46">
        <v>25</v>
      </c>
      <c r="B29" s="47" t="s">
        <v>132</v>
      </c>
      <c r="C29" s="47" t="s">
        <v>133</v>
      </c>
      <c r="D29" s="47" t="s">
        <v>123</v>
      </c>
      <c r="E29" s="47">
        <v>342.673</v>
      </c>
      <c r="F29" s="47" t="s">
        <v>118</v>
      </c>
      <c r="G29" s="47" t="s">
        <v>123</v>
      </c>
      <c r="H29" s="47" t="s">
        <v>113</v>
      </c>
      <c r="I29" s="48">
        <v>73.4062970057</v>
      </c>
      <c r="J29" s="48">
        <v>45.5847479682</v>
      </c>
      <c r="K29" s="49">
        <v>180.21391304347827</v>
      </c>
      <c r="L29" s="50">
        <v>8.152463768115949</v>
      </c>
      <c r="M29" s="51"/>
    </row>
    <row r="30" ht="15" customHeight="1">
      <c r="A30" s="46">
        <v>24</v>
      </c>
      <c r="B30" s="47" t="s">
        <v>134</v>
      </c>
      <c r="C30" s="47" t="s">
        <v>135</v>
      </c>
      <c r="D30" s="47" t="s">
        <v>67</v>
      </c>
      <c r="E30" s="47">
        <v>363.387</v>
      </c>
      <c r="F30" s="47" t="s">
        <v>118</v>
      </c>
      <c r="G30" s="47" t="s">
        <v>136</v>
      </c>
      <c r="H30" s="47" t="s">
        <v>113</v>
      </c>
      <c r="I30" s="48">
        <v>73.7403409928</v>
      </c>
      <c r="J30" s="48">
        <v>45.3242240008</v>
      </c>
      <c r="K30" s="49">
        <v>192.1356521739131</v>
      </c>
      <c r="L30" s="50">
        <v>9.09115942028984</v>
      </c>
      <c r="M30" s="51"/>
    </row>
    <row r="31" ht="15" customHeight="1">
      <c r="A31" s="46">
        <v>23</v>
      </c>
      <c r="B31" s="47" t="s">
        <v>137</v>
      </c>
      <c r="C31" s="47" t="s">
        <v>135</v>
      </c>
      <c r="D31" s="47" t="s">
        <v>67</v>
      </c>
      <c r="E31" s="47">
        <v>365.974</v>
      </c>
      <c r="F31" s="47" t="s">
        <v>118</v>
      </c>
      <c r="G31" s="47" t="s">
        <v>136</v>
      </c>
      <c r="H31" s="47" t="s">
        <v>113</v>
      </c>
      <c r="I31" s="48">
        <v>74.01529097</v>
      </c>
      <c r="J31" s="48">
        <v>44.9767849781</v>
      </c>
      <c r="K31" s="49">
        <v>234.6191304347826</v>
      </c>
      <c r="L31" s="50">
        <v>9.880144927536234</v>
      </c>
      <c r="M31" s="51"/>
    </row>
    <row r="32" ht="15" customHeight="1">
      <c r="A32" s="46">
        <v>22</v>
      </c>
      <c r="B32" s="47" t="s">
        <v>138</v>
      </c>
      <c r="C32" s="47" t="s">
        <v>139</v>
      </c>
      <c r="D32" s="47" t="s">
        <v>123</v>
      </c>
      <c r="E32" s="47">
        <v>526.997</v>
      </c>
      <c r="F32" s="47" t="s">
        <v>118</v>
      </c>
      <c r="G32" s="47" t="s">
        <v>136</v>
      </c>
      <c r="H32" s="47" t="s">
        <v>113</v>
      </c>
      <c r="I32" s="48">
        <v>73.9253330324</v>
      </c>
      <c r="J32" s="48">
        <v>44.5358330011</v>
      </c>
      <c r="K32" s="49">
        <v>229.1617391304348</v>
      </c>
      <c r="L32" s="50">
        <v>9.625579710144935</v>
      </c>
      <c r="M32" s="51"/>
    </row>
    <row r="33" ht="15" customHeight="1">
      <c r="A33" s="46">
        <v>21</v>
      </c>
      <c r="B33" s="47" t="s">
        <v>140</v>
      </c>
      <c r="C33" s="47" t="s">
        <v>141</v>
      </c>
      <c r="D33" s="47" t="s">
        <v>123</v>
      </c>
      <c r="E33" s="47">
        <v>397.082</v>
      </c>
      <c r="F33" s="47" t="s">
        <v>142</v>
      </c>
      <c r="G33" s="47" t="s">
        <v>136</v>
      </c>
      <c r="H33" s="47" t="s">
        <v>113</v>
      </c>
      <c r="I33" s="48">
        <v>73.6995620281</v>
      </c>
      <c r="J33" s="48">
        <v>44.1545030102</v>
      </c>
      <c r="K33" s="49">
        <v>272.69913043478255</v>
      </c>
      <c r="L33" s="50">
        <v>9.972898550724658</v>
      </c>
      <c r="M33" s="51"/>
    </row>
    <row r="34" ht="15" customHeight="1">
      <c r="A34" s="46">
        <v>20</v>
      </c>
      <c r="B34" s="47" t="s">
        <v>143</v>
      </c>
      <c r="C34" s="47" t="s">
        <v>144</v>
      </c>
      <c r="D34" s="47" t="s">
        <v>82</v>
      </c>
      <c r="E34" s="47">
        <v>418.163</v>
      </c>
      <c r="F34" s="47" t="s">
        <v>74</v>
      </c>
      <c r="G34" s="47" t="s">
        <v>75</v>
      </c>
      <c r="H34" s="47" t="s">
        <v>145</v>
      </c>
      <c r="I34" s="48">
        <v>73.5785980057</v>
      </c>
      <c r="J34" s="48">
        <v>43.9649480302</v>
      </c>
      <c r="K34" s="49">
        <v>300.51130434782607</v>
      </c>
      <c r="L34" s="50">
        <v>10.709420289855077</v>
      </c>
      <c r="M34" s="51"/>
    </row>
    <row r="35" ht="15" customHeight="1">
      <c r="A35" s="46">
        <v>19</v>
      </c>
      <c r="B35" s="47" t="s">
        <v>146</v>
      </c>
      <c r="C35" s="47" t="s">
        <v>147</v>
      </c>
      <c r="D35" s="47" t="s">
        <v>82</v>
      </c>
      <c r="E35" s="47">
        <v>457.965</v>
      </c>
      <c r="F35" s="47" t="s">
        <v>74</v>
      </c>
      <c r="G35" s="47" t="s">
        <v>148</v>
      </c>
      <c r="H35" s="47" t="s">
        <v>149</v>
      </c>
      <c r="I35" s="48">
        <v>73.7880620174</v>
      </c>
      <c r="J35" s="48">
        <v>43.6658330262</v>
      </c>
      <c r="K35" s="49">
        <v>300.51130434782607</v>
      </c>
      <c r="L35" s="50">
        <v>10.709420289855077</v>
      </c>
      <c r="M35" s="51"/>
    </row>
    <row r="36" ht="15" customHeight="1">
      <c r="A36" s="46">
        <v>18</v>
      </c>
      <c r="B36" s="47" t="s">
        <v>150</v>
      </c>
      <c r="C36" s="47" t="s">
        <v>151</v>
      </c>
      <c r="D36" s="47" t="s">
        <v>82</v>
      </c>
      <c r="E36" s="47">
        <v>511.611</v>
      </c>
      <c r="F36" s="47" t="s">
        <v>152</v>
      </c>
      <c r="G36" s="47" t="s">
        <v>75</v>
      </c>
      <c r="H36" s="47" t="s">
        <v>149</v>
      </c>
      <c r="I36" s="48">
        <v>73.5743410047</v>
      </c>
      <c r="J36" s="48">
        <v>43.3324020077</v>
      </c>
      <c r="K36" s="49">
        <v>335.10434782608684</v>
      </c>
      <c r="L36" s="50">
        <v>10.716159420289843</v>
      </c>
      <c r="M36" s="51"/>
    </row>
    <row r="37" ht="15" customHeight="1">
      <c r="A37" s="46">
        <v>17</v>
      </c>
      <c r="B37" s="47" t="s">
        <v>153</v>
      </c>
      <c r="C37" s="47" t="s">
        <v>154</v>
      </c>
      <c r="D37" s="47" t="s">
        <v>82</v>
      </c>
      <c r="E37" s="47">
        <v>628</v>
      </c>
      <c r="F37" s="47" t="s">
        <v>152</v>
      </c>
      <c r="G37" s="47" t="s">
        <v>75</v>
      </c>
      <c r="H37" s="47" t="s">
        <v>149</v>
      </c>
      <c r="I37" s="48">
        <v>73.2451049611</v>
      </c>
      <c r="J37" s="48">
        <v>43.0241290201</v>
      </c>
      <c r="K37" s="49">
        <v>318.891304347826</v>
      </c>
      <c r="L37" s="50">
        <v>10.530289855072473</v>
      </c>
      <c r="M37" s="51"/>
    </row>
    <row r="38" ht="15" customHeight="1">
      <c r="A38" s="46">
        <v>16</v>
      </c>
      <c r="B38" s="47" t="s">
        <v>155</v>
      </c>
      <c r="C38" s="47" t="s">
        <v>156</v>
      </c>
      <c r="D38" s="47" t="s">
        <v>82</v>
      </c>
      <c r="E38" s="47">
        <v>670</v>
      </c>
      <c r="F38" s="47" t="s">
        <v>152</v>
      </c>
      <c r="G38" s="47" t="s">
        <v>148</v>
      </c>
      <c r="H38" s="47" t="s">
        <v>113</v>
      </c>
      <c r="I38" s="48">
        <v>73.1852239743</v>
      </c>
      <c r="J38" s="48">
        <v>42.9244869668</v>
      </c>
      <c r="K38" s="49">
        <v>431.704347826087</v>
      </c>
      <c r="L38" s="50">
        <v>1.2213043478260874</v>
      </c>
      <c r="M38" s="51"/>
    </row>
    <row r="39" ht="15" customHeight="1">
      <c r="A39" s="46">
        <v>15</v>
      </c>
      <c r="B39" s="47" t="s">
        <v>157</v>
      </c>
      <c r="C39" s="47" t="s">
        <v>158</v>
      </c>
      <c r="D39" s="47" t="s">
        <v>82</v>
      </c>
      <c r="E39" s="47">
        <v>751.884</v>
      </c>
      <c r="F39" s="47" t="s">
        <v>159</v>
      </c>
      <c r="G39" s="47" t="s">
        <v>151</v>
      </c>
      <c r="H39" s="47" t="s">
        <v>160</v>
      </c>
      <c r="I39" s="48">
        <v>72.5784709956</v>
      </c>
      <c r="J39" s="48">
        <v>42.9302839749</v>
      </c>
      <c r="K39" s="49">
        <v>408.4113043478261</v>
      </c>
      <c r="L39" s="50">
        <v>4.10659420289856</v>
      </c>
      <c r="M39" s="51"/>
    </row>
    <row r="40" ht="15" customHeight="1">
      <c r="A40" s="46">
        <v>14</v>
      </c>
      <c r="B40" s="47" t="s">
        <v>161</v>
      </c>
      <c r="C40" s="47" t="s">
        <v>162</v>
      </c>
      <c r="D40" s="47" t="s">
        <v>73</v>
      </c>
      <c r="E40" s="47">
        <v>605.374</v>
      </c>
      <c r="F40" s="47" t="s">
        <v>152</v>
      </c>
      <c r="G40" s="47" t="s">
        <v>75</v>
      </c>
      <c r="H40" s="47" t="s">
        <v>160</v>
      </c>
      <c r="I40" s="48">
        <v>71.9999600016</v>
      </c>
      <c r="J40" s="48">
        <v>42.9989020061</v>
      </c>
      <c r="K40" s="49">
        <v>423.59478260869554</v>
      </c>
      <c r="L40" s="50">
        <v>3.0024637681159403</v>
      </c>
      <c r="M40" s="51"/>
    </row>
    <row r="41" ht="15" customHeight="1">
      <c r="A41" s="46">
        <v>13</v>
      </c>
      <c r="B41" s="47" t="s">
        <v>163</v>
      </c>
      <c r="C41" s="47" t="s">
        <v>164</v>
      </c>
      <c r="D41" s="47" t="s">
        <v>82</v>
      </c>
      <c r="E41" s="47">
        <v>592.175</v>
      </c>
      <c r="F41" s="47" t="s">
        <v>165</v>
      </c>
      <c r="G41" s="47" t="s">
        <v>151</v>
      </c>
      <c r="H41" s="47" t="s">
        <v>160</v>
      </c>
      <c r="I41" s="48">
        <v>71.5081860311</v>
      </c>
      <c r="J41" s="48">
        <v>42.9388099629</v>
      </c>
      <c r="K41" s="49">
        <v>404.18434782608693</v>
      </c>
      <c r="L41" s="50">
        <v>5.696304347826088</v>
      </c>
      <c r="M41" s="51"/>
    </row>
  </sheetData>
  <printOptions/>
  <pageMargins left="0.7" right="0.7" top="0.75" bottom="0.75" header="0.3" footer="0.3"/>
  <pageSetup useFirstPageNumber="1" paperSize="9" scale="65" pageOrder="downThenOver" orientation="landscape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TC,TOC,TIC (1) </vt:lpstr>
      <vt:lpstr>LOI (2)</vt:lpstr>
      <vt:lpstr>Total Nitrogen (3)</vt:lpstr>
      <vt:lpstr>Dry bulk Density (4)</vt:lpstr>
      <vt:lpstr>Soil Moisture  (5)</vt:lpstr>
      <vt:lpstr>pH SU &amp;amp; SN (6)</vt:lpstr>
      <vt:lpstr>EC SN (7)</vt:lpstr>
      <vt:lpstr>TOC and TN stocks (8)</vt:lpstr>
      <vt:lpstr>Annotation (9)</vt:lpstr>
      <vt:lpstr>'Annotation (9)'!Print_Area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 Yapiyev</dc:creator>
  <cp:lastModifiedBy>Vadim Yapiyev</cp:lastModifiedBy>
  <dcterms:created xsi:type="dcterms:W3CDTF">2017-11-07T10:41:19Z</dcterms:created>
  <dcterms:modified xsi:type="dcterms:W3CDTF">2026-09-08T11:58:28Z</dcterms:modified>
</cp:coreProperties>
</file>